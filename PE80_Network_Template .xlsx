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505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PIPES" sheetId="3" state="visible" r:id="rId3"/>
    <sheet xmlns:r="http://schemas.openxmlformats.org/officeDocument/2006/relationships" name="MATERIAL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RESULTS" sheetId="6" state="visible" r:id="rId6"/>
  </sheets>
  <definedNames>
    <definedName name="_xlnm.Print_Titles" localSheetId="1">'NODES'!$1:$2</definedName>
    <definedName name="_xlnm.Print_Titles" localSheetId="2">'PIPES'!$1:$2</definedName>
    <definedName name="_xlnm.Print_Titles" localSheetId="4">'VALIDATION'!$1:$2</definedName>
  </definedNames>
  <calcPr calcId="179021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000"/>
    <numFmt numFmtId="166" formatCode="0.000000"/>
    <numFmt numFmtId="167" formatCode="0.0000000"/>
    <numFmt numFmtId="168" formatCode="0.0"/>
    <numFmt numFmtId="169" formatCode="#,##0.1"/>
    <numFmt numFmtId="170" formatCode="0.00000"/>
    <numFmt numFmtId="171" formatCode="0.000"/>
  </numFmts>
  <fonts count="47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b val="1"/>
      <color rgb="FF7030A0"/>
      <sz val="14"/>
    </font>
    <font>
      <name val="Arial"/>
      <charset val="1"/>
      <color rgb="FF595959"/>
      <sz val="10"/>
    </font>
    <font>
      <name val="Arial"/>
      <charset val="1"/>
      <b val="1"/>
      <color rgb="FF2E75B6"/>
      <sz val="14"/>
    </font>
    <font>
      <name val="Arial"/>
      <charset val="1"/>
      <b val="1"/>
      <color rgb="FFC55A11"/>
      <sz val="14"/>
    </font>
    <font>
      <name val="Arial"/>
      <charset val="1"/>
      <b val="1"/>
      <color rgb="FF375623"/>
      <sz val="14"/>
    </font>
    <font>
      <name val="Arial"/>
      <charset val="1"/>
      <b val="1"/>
      <color rgb="FF595959"/>
      <sz val="14"/>
    </font>
    <font>
      <name val="Arial"/>
      <charset val="1"/>
      <b val="1"/>
      <color rgb="FFFFFFFF"/>
      <sz val="9"/>
    </font>
    <font>
      <name val="Arial"/>
      <charset val="1"/>
      <b val="1"/>
      <color rgb="FF1F4E79"/>
      <sz val="10"/>
    </font>
    <font>
      <name val="Arial"/>
      <charset val="1"/>
      <b val="1"/>
      <color rgb="FFC55A11"/>
      <sz val="10"/>
    </font>
    <font>
      <name val="Arial"/>
      <charset val="1"/>
      <sz val="10"/>
    </font>
    <font>
      <name val="Arial"/>
      <charset val="1"/>
      <b val="1"/>
      <color rgb="FFC55A11"/>
      <sz val="9"/>
    </font>
    <font>
      <name val="Arial"/>
      <charset val="1"/>
      <color rgb="FF595959"/>
      <sz val="9"/>
    </font>
    <font>
      <name val="Arial"/>
      <charset val="1"/>
      <b val="1"/>
      <color rgb="FF2E75B6"/>
      <sz val="10"/>
    </font>
    <font>
      <name val="Arial"/>
      <charset val="1"/>
      <b val="1"/>
      <color rgb="FF375623"/>
      <sz val="9"/>
    </font>
    <font>
      <name val="Arial"/>
      <charset val="1"/>
      <b val="1"/>
      <color rgb="FF2E75B6"/>
      <sz val="9"/>
    </font>
    <font>
      <name val="Arial"/>
      <charset val="1"/>
      <b val="1"/>
      <color rgb="FF375623"/>
      <sz val="10"/>
    </font>
    <font>
      <name val="Arial"/>
      <charset val="1"/>
      <color rgb="FF375623"/>
      <sz val="10"/>
    </font>
    <font>
      <name val="Arial"/>
      <charset val="1"/>
      <color rgb="FF7030A0"/>
      <sz val="10"/>
    </font>
    <font>
      <name val="Arial"/>
      <charset val="1"/>
      <color rgb="FF0070C0"/>
      <sz val="10"/>
    </font>
    <font>
      <name val="Arial"/>
      <charset val="1"/>
      <color rgb="FFC00000"/>
      <sz val="10"/>
    </font>
    <font>
      <name val="Arial"/>
      <charset val="1"/>
      <b val="1"/>
      <color rgb="FF7030A0"/>
      <sz val="9"/>
    </font>
    <font>
      <name val="Arial"/>
      <charset val="1"/>
      <b val="1"/>
      <color rgb="FF0070C0"/>
      <sz val="9"/>
    </font>
    <font>
      <name val="Arial"/>
      <charset val="1"/>
      <b val="1"/>
      <color rgb="FFC00000"/>
      <sz val="9"/>
    </font>
    <font>
      <name val="Arial"/>
      <family val="2"/>
      <sz val="10"/>
    </font>
    <font>
      <name val="Arial"/>
      <charset val="1"/>
      <b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2"/>
    </font>
    <font>
      <name val="Arial"/>
      <charset val="1"/>
      <color rgb="FFC55A11"/>
      <sz val="10"/>
    </font>
    <font>
      <name val="Arial"/>
      <charset val="1"/>
      <b val="1"/>
      <color rgb="FF595959"/>
      <sz val="10"/>
    </font>
    <font>
      <name val="Courier New"/>
      <charset val="1"/>
      <color rgb="FF0070C0"/>
      <sz val="9"/>
    </font>
    <font>
      <name val="Arial"/>
      <charset val="1"/>
      <b val="1"/>
      <sz val="10"/>
    </font>
    <font>
      <name val="Arial"/>
      <charset val="1"/>
      <i val="1"/>
      <color rgb="FF595959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2c2c2a"/>
      <sz val="10"/>
    </font>
    <font>
      <name val="Arial"/>
      <b val="1"/>
      <color rgb="002c2c2a"/>
      <sz val="10"/>
    </font>
    <font>
      <name val="Arial"/>
      <b val="1"/>
      <color rgb="00375623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C55A11"/>
      <sz val="10"/>
    </font>
    <font>
      <name val="Arial"/>
      <color rgb="00375623"/>
      <sz val="10"/>
    </font>
    <font>
      <name val="Arial"/>
      <b val="1"/>
      <sz val="10"/>
    </font>
  </fonts>
  <fills count="27">
    <fill>
      <patternFill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E8D5F0"/>
        <bgColor rgb="FFD9D9D9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AEEF3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DE9D9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AEEF3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DE9D9"/>
      </patternFill>
    </fill>
    <fill>
      <patternFill patternType="solid">
        <fgColor rgb="FFFFFFFF"/>
        <bgColor rgb="FFF2F2F2"/>
      </patternFill>
    </fill>
    <fill>
      <patternFill patternType="solid">
        <fgColor rgb="FFDAEEF3"/>
        <bgColor rgb="FFD6E4F0"/>
      </patternFill>
    </fill>
    <fill>
      <patternFill patternType="solid">
        <fgColor rgb="FFD9D9D9"/>
        <bgColor rgb="FFD6E4F0"/>
      </patternFill>
    </fill>
    <fill>
      <patternFill patternType="solid">
        <fgColor rgb="FFC00000"/>
        <bgColor rgb="FF80000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55A11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4" fillId="15" borderId="1" applyAlignment="1" pivotButton="0" quotePrefix="0" xfId="0">
      <alignment horizontal="left" vertical="center"/>
    </xf>
    <xf numFmtId="0" fontId="2" fillId="12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164" fontId="11" fillId="14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2" fontId="4" fillId="15" borderId="1" applyAlignment="1" pivotButton="0" quotePrefix="0" xfId="0">
      <alignment horizontal="center" vertical="center"/>
    </xf>
    <xf numFmtId="164" fontId="4" fillId="15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2" fontId="4" fillId="13" borderId="1" applyAlignment="1" pivotButton="0" quotePrefix="0" xfId="0">
      <alignment horizontal="center" vertical="center"/>
    </xf>
    <xf numFmtId="164" fontId="4" fillId="13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left" vertical="center"/>
    </xf>
    <xf numFmtId="2" fontId="20" fillId="3" borderId="1" applyAlignment="1" pivotButton="0" quotePrefix="0" xfId="0">
      <alignment horizontal="center" vertical="center"/>
    </xf>
    <xf numFmtId="164" fontId="21" fillId="16" borderId="1" applyAlignment="1" pivotButton="0" quotePrefix="0" xfId="0">
      <alignment horizontal="center" vertical="center"/>
    </xf>
    <xf numFmtId="164" fontId="22" fillId="13" borderId="1" applyAlignment="1" pivotButton="0" quotePrefix="0" xfId="0">
      <alignment horizontal="left" vertical="center"/>
    </xf>
    <xf numFmtId="164" fontId="22" fillId="15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/>
    </xf>
    <xf numFmtId="0" fontId="24" fillId="16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3" fontId="12" fillId="13" borderId="1" applyAlignment="1" pivotButton="0" quotePrefix="0" xfId="0">
      <alignment horizontal="left" vertical="center"/>
    </xf>
    <xf numFmtId="1" fontId="12" fillId="13" borderId="1" applyAlignment="1" pivotButton="0" quotePrefix="0" xfId="0">
      <alignment horizontal="left" vertical="center"/>
    </xf>
    <xf numFmtId="1" fontId="12" fillId="13" borderId="1" applyAlignment="1" pivotButton="0" quotePrefix="0" xfId="0">
      <alignment horizontal="center" vertical="center"/>
    </xf>
    <xf numFmtId="2" fontId="21" fillId="16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left" vertical="center"/>
    </xf>
    <xf numFmtId="165" fontId="21" fillId="16" borderId="1" applyAlignment="1" pivotButton="0" quotePrefix="0" xfId="0">
      <alignment horizontal="center" vertical="center"/>
    </xf>
    <xf numFmtId="3" fontId="4" fillId="11" borderId="1" applyAlignment="1" pivotButton="0" quotePrefix="0" xfId="0">
      <alignment horizontal="center" vertical="center"/>
    </xf>
    <xf numFmtId="166" fontId="4" fillId="11" borderId="1" applyAlignment="1" pivotButton="0" quotePrefix="0" xfId="0">
      <alignment horizontal="center" vertical="center"/>
    </xf>
    <xf numFmtId="167" fontId="4" fillId="11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3" fontId="12" fillId="15" borderId="1" applyAlignment="1" pivotButton="0" quotePrefix="0" xfId="0">
      <alignment horizontal="left" vertical="center"/>
    </xf>
    <xf numFmtId="1" fontId="12" fillId="15" borderId="1" applyAlignment="1" pivotButton="0" quotePrefix="0" xfId="0">
      <alignment horizontal="left" vertical="center"/>
    </xf>
    <xf numFmtId="1" fontId="12" fillId="15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center" vertical="center"/>
    </xf>
    <xf numFmtId="165" fontId="18" fillId="9" borderId="1" applyAlignment="1" pivotButton="0" quotePrefix="0" xfId="0">
      <alignment horizontal="center" vertical="center"/>
    </xf>
    <xf numFmtId="167" fontId="21" fillId="9" borderId="1" applyAlignment="1" pivotButton="0" quotePrefix="0" xfId="0">
      <alignment horizontal="center" vertical="center"/>
    </xf>
    <xf numFmtId="168" fontId="30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165" fontId="31" fillId="15" borderId="1" applyAlignment="1" pivotButton="0" quotePrefix="0" xfId="0">
      <alignment horizontal="center" vertical="center"/>
    </xf>
    <xf numFmtId="167" fontId="21" fillId="15" borderId="1" applyAlignment="1" pivotButton="0" quotePrefix="0" xfId="0">
      <alignment horizontal="center" vertical="center"/>
    </xf>
    <xf numFmtId="168" fontId="30" fillId="15" borderId="1" applyAlignment="1" pivotButton="0" quotePrefix="0" xfId="0">
      <alignment horizontal="center" vertical="center"/>
    </xf>
    <xf numFmtId="165" fontId="31" fillId="13" borderId="1" applyAlignment="1" pivotButton="0" quotePrefix="0" xfId="0">
      <alignment horizontal="center" vertical="center"/>
    </xf>
    <xf numFmtId="167" fontId="21" fillId="13" borderId="1" applyAlignment="1" pivotButton="0" quotePrefix="0" xfId="0">
      <alignment horizontal="center" vertical="center"/>
    </xf>
    <xf numFmtId="168" fontId="30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 wrapText="1"/>
    </xf>
    <xf numFmtId="2" fontId="18" fillId="9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32" fillId="16" borderId="1" applyAlignment="1" pivotButton="0" quotePrefix="0" xfId="0">
      <alignment horizontal="left" vertical="center" wrapText="1"/>
    </xf>
    <xf numFmtId="4" fontId="10" fillId="13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4" fontId="10" fillId="15" borderId="1" applyAlignment="1" pivotButton="0" quotePrefix="0" xfId="0">
      <alignment horizontal="center" vertical="center"/>
    </xf>
    <xf numFmtId="0" fontId="34" fillId="1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9" fillId="8" borderId="0" applyAlignment="1" pivotButton="0" quotePrefix="0" xfId="0">
      <alignment horizontal="center" vertical="center"/>
    </xf>
    <xf numFmtId="0" fontId="29" fillId="1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7" pivotButton="0" quotePrefix="0" xfId="0"/>
    <xf numFmtId="0" fontId="0" fillId="0" borderId="4" pivotButton="0" quotePrefix="0" xfId="0"/>
    <xf numFmtId="0" fontId="35" fillId="19" borderId="0" applyAlignment="1" pivotButton="0" quotePrefix="0" xfId="0">
      <alignment horizontal="center" vertical="center"/>
    </xf>
    <xf numFmtId="0" fontId="36" fillId="20" borderId="0" applyAlignment="1" pivotButton="0" quotePrefix="0" xfId="0">
      <alignment horizontal="left" vertical="center"/>
    </xf>
    <xf numFmtId="0" fontId="37" fillId="21" borderId="8" applyAlignment="1" pivotButton="0" quotePrefix="0" xfId="0">
      <alignment horizontal="center" vertical="center" wrapText="1"/>
    </xf>
    <xf numFmtId="0" fontId="38" fillId="22" borderId="8" applyAlignment="1" pivotButton="0" quotePrefix="0" xfId="0">
      <alignment horizontal="left" vertical="center"/>
    </xf>
    <xf numFmtId="0" fontId="39" fillId="22" borderId="8" applyAlignment="1" pivotButton="0" quotePrefix="0" xfId="0">
      <alignment horizontal="left" vertical="center"/>
    </xf>
    <xf numFmtId="0" fontId="39" fillId="22" borderId="8" applyAlignment="1" pivotButton="0" quotePrefix="0" xfId="0">
      <alignment horizontal="center" vertical="center"/>
    </xf>
    <xf numFmtId="169" fontId="39" fillId="22" borderId="8" applyAlignment="1" pivotButton="0" quotePrefix="0" xfId="0">
      <alignment horizontal="center" vertical="center"/>
    </xf>
    <xf numFmtId="0" fontId="40" fillId="22" borderId="8" applyAlignment="1" pivotButton="0" quotePrefix="0" xfId="0">
      <alignment horizontal="center" vertical="center"/>
    </xf>
    <xf numFmtId="0" fontId="38" fillId="23" borderId="8" applyAlignment="1" pivotButton="0" quotePrefix="0" xfId="0">
      <alignment horizontal="left" vertical="center"/>
    </xf>
    <xf numFmtId="0" fontId="39" fillId="23" borderId="8" applyAlignment="1" pivotButton="0" quotePrefix="0" xfId="0">
      <alignment horizontal="left" vertical="center"/>
    </xf>
    <xf numFmtId="0" fontId="39" fillId="23" borderId="8" applyAlignment="1" pivotButton="0" quotePrefix="0" xfId="0">
      <alignment horizontal="center" vertical="center"/>
    </xf>
    <xf numFmtId="169" fontId="39" fillId="23" borderId="8" applyAlignment="1" pivotButton="0" quotePrefix="0" xfId="0">
      <alignment horizontal="center" vertical="center"/>
    </xf>
    <xf numFmtId="0" fontId="41" fillId="24" borderId="8" applyAlignment="1" pivotButton="0" quotePrefix="0" xfId="0">
      <alignment horizontal="center" vertical="center"/>
    </xf>
    <xf numFmtId="0" fontId="40" fillId="23" borderId="8" applyAlignment="1" pivotButton="0" quotePrefix="0" xfId="0">
      <alignment horizontal="center" vertical="center"/>
    </xf>
    <xf numFmtId="169" fontId="42" fillId="25" borderId="8" applyAlignment="1" pivotButton="0" quotePrefix="0" xfId="0">
      <alignment horizontal="center" vertical="center"/>
    </xf>
    <xf numFmtId="0" fontId="43" fillId="25" borderId="8" applyAlignment="1" pivotButton="0" quotePrefix="0" xfId="0">
      <alignment horizontal="center" vertical="center"/>
    </xf>
    <xf numFmtId="0" fontId="36" fillId="26" borderId="0" applyAlignment="1" pivotButton="0" quotePrefix="0" xfId="0">
      <alignment horizontal="left" vertical="center"/>
    </xf>
    <xf numFmtId="0" fontId="37" fillId="26" borderId="8" applyAlignment="1" pivotButton="0" quotePrefix="0" xfId="0">
      <alignment horizontal="center" vertical="center" wrapText="1"/>
    </xf>
    <xf numFmtId="0" fontId="44" fillId="22" borderId="8" applyAlignment="1" pivotButton="0" quotePrefix="0" xfId="0">
      <alignment horizontal="left" vertical="center"/>
    </xf>
    <xf numFmtId="2" fontId="39" fillId="22" borderId="8" applyAlignment="1" pivotButton="0" quotePrefix="0" xfId="0">
      <alignment horizontal="center" vertical="center"/>
    </xf>
    <xf numFmtId="3" fontId="39" fillId="22" borderId="8" applyAlignment="1" pivotButton="0" quotePrefix="0" xfId="0">
      <alignment horizontal="center" vertical="center"/>
    </xf>
    <xf numFmtId="170" fontId="39" fillId="22" borderId="8" applyAlignment="1" pivotButton="0" quotePrefix="0" xfId="0">
      <alignment horizontal="center" vertical="center"/>
    </xf>
    <xf numFmtId="171" fontId="39" fillId="22" borderId="8" applyAlignment="1" pivotButton="0" quotePrefix="0" xfId="0">
      <alignment horizontal="center" vertical="center"/>
    </xf>
    <xf numFmtId="168" fontId="45" fillId="24" borderId="8" applyAlignment="1" pivotButton="0" quotePrefix="0" xfId="0">
      <alignment horizontal="center" vertical="center"/>
    </xf>
    <xf numFmtId="0" fontId="44" fillId="23" borderId="8" applyAlignment="1" pivotButton="0" quotePrefix="0" xfId="0">
      <alignment horizontal="left" vertical="center"/>
    </xf>
    <xf numFmtId="2" fontId="39" fillId="23" borderId="8" applyAlignment="1" pivotButton="0" quotePrefix="0" xfId="0">
      <alignment horizontal="center" vertical="center"/>
    </xf>
    <xf numFmtId="3" fontId="39" fillId="23" borderId="8" applyAlignment="1" pivotButton="0" quotePrefix="0" xfId="0">
      <alignment horizontal="center" vertical="center"/>
    </xf>
    <xf numFmtId="170" fontId="39" fillId="23" borderId="8" applyAlignment="1" pivotButton="0" quotePrefix="0" xfId="0">
      <alignment horizontal="center" vertical="center"/>
    </xf>
    <xf numFmtId="171" fontId="39" fillId="23" borderId="8" applyAlignment="1" pivotButton="0" quotePrefix="0" xfId="0">
      <alignment horizontal="center" vertical="center"/>
    </xf>
    <xf numFmtId="0" fontId="37" fillId="21" borderId="0" applyAlignment="1" pivotButton="0" quotePrefix="0" xfId="0">
      <alignment horizontal="center"/>
    </xf>
    <xf numFmtId="0" fontId="46" fillId="0" borderId="0" pivotButton="0" quotePrefix="0" xfId="0"/>
    <xf numFmtId="0" fontId="45" fillId="0" borderId="0" pivotButton="0" quotePrefix="0" xfId="0"/>
  </cellXfs>
  <cellStyles count="1">
    <cellStyle name="Normal" xfId="0" builtinId="0"/>
  </cellStyles>
  <dxfs count="9">
    <dxf>
      <font>
        <b val="1"/>
        <color rgb="FFC00000"/>
        <sz val="12"/>
      </font>
      <fill>
        <patternFill>
          <bgColor rgb="FFFCE4D6"/>
        </patternFill>
      </fill>
    </dxf>
    <dxf>
      <font>
        <b val="1"/>
        <color rgb="FF375623"/>
        <sz val="12"/>
      </font>
      <fill>
        <patternFill>
          <bgColor rgb="FFE2EFDA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CCCCCC"/>
      <rgbColor rgb="FF808080"/>
      <rgbColor rgb="FF9999FF"/>
      <rgbColor rgb="FF7030A0"/>
      <rgbColor rgb="FFFFF2CC"/>
      <rgbColor rgb="FFDAEEF3"/>
      <rgbColor rgb="FF660066"/>
      <rgbColor rgb="FFFF8080"/>
      <rgbColor rgb="FF0070C0"/>
      <rgbColor rgb="FFE8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DE9D9"/>
      <rgbColor rgb="FFD6E4F0"/>
      <rgbColor rgb="FFF2F2F2"/>
      <rgbColor rgb="FFD9D9D9"/>
      <rgbColor rgb="FFFCE4D6"/>
      <rgbColor rgb="FF4472C4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Unique node identifier
Format: N001, N002...
Used as primary key in PIPES table</t>
      </text>
    </comment>
    <comment ref="B2" authorId="0" shapeId="0">
      <text>
        <t>Dropdown: source / junction / offtake
• source = fixed pressure boundary
• junction = zero demand, pressure unknown
• offtake = known demand, pressure unknown</t>
      </text>
    </comment>
    <comment ref="C2" authorId="0" shapeId="0">
      <text>
        <t>Descriptive label
e.g. 'PRS Maadi', 'Block 7 Meters'
For human reference only</t>
      </text>
    </comment>
    <comment ref="D2" authorId="0" shapeId="0">
      <text>
        <t>District or pressure area
e.g. Zone_A, Zone_B
Used for grouping in reports</t>
      </text>
    </comment>
    <comment ref="E2" authorId="0" shapeId="0">
      <text>
        <t>Ground elevation in metres
Used for elevation-corrected pressure calculations</t>
      </text>
    </comment>
    <comment ref="F2" authorId="0" shapeId="0">
      <text>
        <t>SOURCES ONLY: Set pressure in kPa(g)
Leave BLANK for junctions and offtakes
Python converts: Pa(a) = value×1000 + 101325</t>
      </text>
    </comment>
    <comment ref="G2" authorId="0" shapeId="0">
      <text>
        <t>OFFTAKES ONLY: Peak hourly demand (Sm³/h)
Leave BLANK for sources
Set to 0 for junctions</t>
      </text>
    </comment>
    <comment ref="H2" authorId="0" shapeId="0">
      <text>
        <t>Dropdown: residential / commercial / industrial
Determines default diversity factor range</t>
      </text>
    </comment>
    <comment ref="I2" authorId="0" shapeId="0">
      <text>
        <t>0.0 – 1.0
Residential: 0.50–0.70
Commercial: 0.80–0.95
Industrial: 1.00</t>
      </text>
    </comment>
    <comment ref="J2" authorId="0" shapeId="0">
      <text>
        <t>FORMULA: = Demand × Diversity Factor
=G*I
This is the value passed to solver (D_u vector)</t>
      </text>
    </comment>
    <comment ref="K2" authorId="0" shapeId="0">
      <text>
        <t>Minimum acceptable nodal pressure in kPa(g)
Post-solve check: P_solved ≥ Min_P
Residential: ≥7.5 kPa(g). Industrial: ≥50 kPa(g)</t>
      </text>
    </comment>
    <comment ref="L2" authorId="0" shapeId="0">
      <text>
        <t>GIS X-coordinate (Easting) in metres
Used for network map visualisation</t>
      </text>
    </comment>
    <comment ref="M2" authorId="0" shapeId="0">
      <text>
        <t>GIS Y-coordinate (Northing) in metres
Used for network map visualisation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2" authorId="0" shapeId="0">
      <text>
        <t>Unique pipe identifier
Format: P001, P002...
Primary key</t>
      </text>
    </comment>
    <comment ref="B2" authorId="0" shapeId="0">
      <text>
        <t>Starting node ID
Must exactly match a Node_ID in NODES sheet
Positive flow direction = From → To</t>
      </text>
    </comment>
    <comment ref="C2" authorId="0" shapeId="0">
      <text>
        <t>Ending node ID
Must exactly match a Node_ID in NODES sheet
Solver corrects sign if flow is reversed</t>
      </text>
    </comment>
    <comment ref="D2" authorId="0" shapeId="0">
      <text>
        <t>Physical pipe length in metres
NOT straight-line distance
Account for bends and route deviations
Typically 1.05–1.15× straight-line</t>
      </text>
    </comment>
    <comment ref="E2" authorId="0" shapeId="0">
      <text>
        <t>Pipe outside diameter in mm
Standard PE80 sizes:
25·32·40·50·63·90·110·125·160·200·250·315</t>
      </text>
    </comment>
    <comment ref="F2" authorId="0" shapeId="0">
      <text>
        <t>Standard Dimension Ratio = OD/WT
PE80 at 4 bar → SDR17 (MOP=4bar)
SDR11 (MOP=8bar), SDR21 (MOP=3bar)</t>
      </text>
    </comment>
    <comment ref="G2" authorId="0" shapeId="0">
      <text>
        <t>FORMULA: Internal diameter in mm
= OD × (1 - 2/SDR)
Do NOT enter manually — always formula</t>
      </text>
    </comment>
    <comment ref="H2" authorId="0" shapeId="0">
      <text>
        <t>Dropdown: PE80 / PE100 / Steel_new / Steel_aged / CI
Determines roughness from MATERIALS sheet</t>
      </text>
    </comment>
    <comment ref="I2" authorId="0" shapeId="0">
      <text>
        <t>FORMULA: from MATERIALS lookup
= VLOOKUP(Material, MATERIALS, col, 0)
Do NOT enter manually</t>
      </text>
    </comment>
    <comment ref="J2" authorId="0" shapeId="0">
      <text>
        <t>Year pipe was installed
Used for age-based condition assessment</t>
      </text>
    </comment>
    <comment ref="K2" authorId="0" shapeId="0">
      <text>
        <t>Dropdown: open / closed / throttled
Only 'open' pipes are passed to the solver
Closed = valve isolated section</t>
      </text>
    </comment>
    <comment ref="L2" authorId="0" shapeId="0">
      <text>
        <t>FORMULA: Length in metres for solver
= D (same column, confirms unit)</t>
      </text>
    </comment>
    <comment ref="M2" authorId="0" shapeId="0">
      <text>
        <t>FORMULA: ID in metres for solver
= G/1000</t>
      </text>
    </comment>
    <comment ref="N2" authorId="0" shapeId="0">
      <text>
        <t>FORMULA: Roughness in metres for solver
= I/1000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163286</colOff>
      <row>14</row>
      <rowOff>100692</rowOff>
    </from>
    <to>
      <col>10</col>
      <colOff>421822</colOff>
      <row>46</row>
      <rowOff>151699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3286" y="3243942"/>
          <a:ext cx="10123715" cy="61470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12</row>
      <rowOff>14654</rowOff>
    </from>
    <to>
      <col>13</col>
      <colOff>29490</colOff>
      <row>44</row>
      <rowOff>65661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776904"/>
          <a:ext cx="10147971" cy="61470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D39"/>
  <sheetViews>
    <sheetView tabSelected="1" zoomScaleNormal="100" workbookViewId="0">
      <selection activeCell="H24" sqref="H24"/>
    </sheetView>
  </sheetViews>
  <sheetFormatPr baseColWidth="8" defaultColWidth="8.7109375" defaultRowHeight="15"/>
  <cols>
    <col width="8.7109375" customWidth="1" min="1" max="1"/>
    <col width="80" customWidth="1" min="2" max="2"/>
    <col width="2" customWidth="1" min="3" max="4"/>
  </cols>
  <sheetData>
    <row r="1" ht="34.5" customHeight="1">
      <c r="A1" s="14" t="inlineStr">
        <is>
          <t>QUICK START GUIDE   |   PE80 Gas Network  Hydraulic Solver Input Template</t>
        </is>
      </c>
    </row>
    <row r="3" ht="21.75" customHeight="1">
      <c r="A3" s="13" t="inlineStr">
        <is>
          <t>STEP 1  MATERIALS (read only)</t>
        </is>
      </c>
    </row>
    <row r="4" ht="18" customHeight="1">
      <c r="A4" s="15" t="inlineStr">
        <is>
          <t>›</t>
        </is>
      </c>
      <c r="B4" s="12" t="inlineStr">
        <is>
          <t>The MATERIALS sheet is pre-filled. Do not modify the PE80 row.</t>
        </is>
      </c>
      <c r="C4" s="100" t="n"/>
      <c r="D4" s="100" t="n"/>
    </row>
    <row r="5" ht="18" customHeight="1">
      <c r="A5" s="15" t="inlineStr">
        <is>
          <t>›</t>
        </is>
      </c>
      <c r="B5" s="12" t="inlineStr">
        <is>
          <t>If your network has steel segments, update the roughness value for Steel_aged based on pipe condition survey.</t>
        </is>
      </c>
      <c r="C5" s="100" t="n"/>
      <c r="D5" s="100" t="n"/>
    </row>
    <row r="6" ht="18" customHeight="1">
      <c r="A6" s="15" t="inlineStr">
        <is>
          <t>›</t>
        </is>
      </c>
      <c r="B6" s="12" t="inlineStr">
        <is>
          <t>The ID dimension table (lower half) is for reference  all PE80 IDs are auto-calculated in PIPES using OD and SDR.</t>
        </is>
      </c>
      <c r="C6" s="100" t="n"/>
      <c r="D6" s="100" t="n"/>
    </row>
    <row r="8" ht="21.75" customHeight="1">
      <c r="A8" s="11" t="inlineStr">
        <is>
          <t>STEP 2  POPULATE NODES SHEET</t>
        </is>
      </c>
    </row>
    <row r="9" ht="18" customHeight="1">
      <c r="A9" s="16" t="inlineStr">
        <is>
          <t>›</t>
        </is>
      </c>
      <c r="B9" s="10" t="inlineStr">
        <is>
          <t>Add one row per node. Every tee, every PRS, every meter station = one row.</t>
        </is>
      </c>
      <c r="C9" s="100" t="n"/>
      <c r="D9" s="100" t="n"/>
    </row>
    <row r="10" ht="18" customHeight="1">
      <c r="A10" s="16" t="inlineStr">
        <is>
          <t>›</t>
        </is>
      </c>
      <c r="B10" s="10" t="inlineStr">
        <is>
          <t>Set Node_Type using the dropdown: source / junction / offtake.</t>
        </is>
      </c>
      <c r="C10" s="100" t="n"/>
      <c r="D10" s="100" t="n"/>
    </row>
    <row r="11" ht="33" customHeight="1">
      <c r="A11" s="16" t="inlineStr">
        <is>
          <t>›</t>
        </is>
      </c>
      <c r="B11" s="10" t="inlineStr">
        <is>
          <t>SOURCE nodes: fill Known_P_kPa_g only (e.g. 4 bar(g) after regulator). Leave Demand blank.</t>
        </is>
      </c>
      <c r="C11" s="100" t="n"/>
      <c r="D11" s="100" t="n"/>
    </row>
    <row r="12" ht="18" customHeight="1">
      <c r="A12" s="16" t="inlineStr">
        <is>
          <t>›</t>
        </is>
      </c>
      <c r="B12" s="10" t="inlineStr">
        <is>
          <t>OFFTAKE nodes: fill Demand_Sm3h and Diversity_Factor. Leave Known_P blank.</t>
        </is>
      </c>
      <c r="C12" s="100" t="n"/>
      <c r="D12" s="100" t="n"/>
    </row>
    <row r="13" ht="18" customHeight="1">
      <c r="A13" s="16" t="inlineStr">
        <is>
          <t>›</t>
        </is>
      </c>
      <c r="B13" s="10" t="inlineStr">
        <is>
          <t>JUNCTION nodes: Demand = 0, Known_P blank, DF = 1.0.</t>
        </is>
      </c>
      <c r="C13" s="100" t="n"/>
      <c r="D13" s="100" t="n"/>
    </row>
    <row r="14" ht="18" customHeight="1">
      <c r="A14" s="16" t="inlineStr">
        <is>
          <t>›</t>
        </is>
      </c>
      <c r="B14" s="10" t="inlineStr">
        <is>
          <t>Eff_Demand (column J) is a formula =G*I  do not overwrite it.</t>
        </is>
      </c>
      <c r="C14" s="100" t="n"/>
      <c r="D14" s="100" t="n"/>
    </row>
    <row r="15" ht="18" customHeight="1">
      <c r="A15" s="16" t="inlineStr">
        <is>
          <t>›</t>
        </is>
      </c>
      <c r="B15" s="10" t="inlineStr">
        <is>
          <t>Fill X_Coord and Y_Coord if you have GIS data  used for pressure maps.</t>
        </is>
      </c>
      <c r="C15" s="100" t="n"/>
      <c r="D15" s="100" t="n"/>
    </row>
    <row r="17" ht="21.75" customHeight="1">
      <c r="A17" s="9" t="inlineStr">
        <is>
          <t>STEP 3  POPULATE PIPES SHEET</t>
        </is>
      </c>
    </row>
    <row r="18" ht="18" customHeight="1">
      <c r="A18" s="17" t="inlineStr">
        <is>
          <t>›</t>
        </is>
      </c>
      <c r="B18" s="8" t="inlineStr">
        <is>
          <t>Add one row per pipe segment. A 'segment' = a pipe between two nodes.</t>
        </is>
      </c>
      <c r="C18" s="100" t="n"/>
      <c r="D18" s="100" t="n"/>
    </row>
    <row r="19" ht="18" customHeight="1">
      <c r="A19" s="17" t="inlineStr">
        <is>
          <t>›</t>
        </is>
      </c>
      <c r="B19" s="8" t="inlineStr">
        <is>
          <t>From_Node and To_Node must exactly match Node_IDs (case-sensitive).</t>
        </is>
      </c>
      <c r="C19" s="100" t="n"/>
      <c r="D19" s="100" t="n"/>
    </row>
    <row r="20" ht="18" customHeight="1">
      <c r="A20" s="17" t="inlineStr">
        <is>
          <t>›</t>
        </is>
      </c>
      <c r="B20" s="8" t="inlineStr">
        <is>
          <t>Length_m = physical route length, NOT straight-line map distance.</t>
        </is>
      </c>
      <c r="C20" s="100" t="n"/>
      <c r="D20" s="100" t="n"/>
    </row>
    <row r="21" ht="18" customHeight="1">
      <c r="A21" s="17" t="inlineStr">
        <is>
          <t>›</t>
        </is>
      </c>
      <c r="B21" s="8" t="inlineStr">
        <is>
          <t>OD_mm = outside diameter in mm (standard PE80 sizes: 63, 90, 125, 160, 200, 250 mm).</t>
        </is>
      </c>
      <c r="C21" s="100" t="n"/>
      <c r="D21" s="100" t="n"/>
    </row>
    <row r="22" ht="18" customHeight="1">
      <c r="A22" s="17" t="inlineStr">
        <is>
          <t>›</t>
        </is>
      </c>
      <c r="B22" s="8" t="inlineStr">
        <is>
          <t>SDR = 11 for this 4 bar(g) PE80 network (use dropdown).</t>
        </is>
      </c>
      <c r="C22" s="100" t="n"/>
      <c r="D22" s="100" t="n"/>
    </row>
    <row r="23" ht="18" customHeight="1">
      <c r="A23" s="17" t="inlineStr">
        <is>
          <t>›</t>
        </is>
      </c>
      <c r="B23" s="8" t="inlineStr">
        <is>
          <t>ID_mm (column G) and Roughness_mm (column I) are FORMULAS  do not overwrite.</t>
        </is>
      </c>
      <c r="C23" s="100" t="n"/>
      <c r="D23" s="100" t="n"/>
    </row>
    <row r="24" ht="18" customHeight="1">
      <c r="A24" s="17" t="inlineStr">
        <is>
          <t>›</t>
        </is>
      </c>
      <c r="B24" s="8" t="inlineStr">
        <is>
          <t>Columns L, M, N are solver-ready unit conversions  do not modify.</t>
        </is>
      </c>
      <c r="C24" s="100" t="n"/>
      <c r="D24" s="100" t="n"/>
    </row>
    <row r="25" ht="18" customHeight="1">
      <c r="A25" s="17" t="inlineStr">
        <is>
          <t>›</t>
        </is>
      </c>
      <c r="B25" s="8" t="inlineStr">
        <is>
          <t>Set Status = 'closed' for any valve-isolated section to exclude from solve.</t>
        </is>
      </c>
      <c r="C25" s="100" t="n"/>
      <c r="D25" s="100" t="n"/>
    </row>
    <row r="27" ht="21.75" customHeight="1">
      <c r="A27" s="7" t="inlineStr">
        <is>
          <t>STEP 4  RUN VALIDATION SHEET</t>
        </is>
      </c>
    </row>
    <row r="28" ht="18" customHeight="1">
      <c r="A28" s="18" t="inlineStr">
        <is>
          <t>›</t>
        </is>
      </c>
      <c r="B28" s="6" t="inlineStr">
        <is>
          <t>Go to VALIDATION sheet and check all rows show ✓ PASS.</t>
        </is>
      </c>
      <c r="C28" s="100" t="n"/>
      <c r="D28" s="100" t="n"/>
    </row>
    <row r="29" ht="18" customHeight="1">
      <c r="A29" s="18" t="inlineStr">
        <is>
          <t>›</t>
        </is>
      </c>
      <c r="B29" s="6" t="inlineStr">
        <is>
          <t>The final row (V20) shows the overall result  ALL checks must pass before running Python.</t>
        </is>
      </c>
      <c r="C29" s="100" t="n"/>
      <c r="D29" s="100" t="n"/>
    </row>
    <row r="30" ht="18" customHeight="1">
      <c r="A30" s="18" t="inlineStr">
        <is>
          <t>›</t>
        </is>
      </c>
      <c r="B30" s="6" t="inlineStr">
        <is>
          <t>Fix any ✗ FAIL items before proceeding.</t>
        </is>
      </c>
      <c r="C30" s="100" t="n"/>
      <c r="D30" s="100" t="n"/>
    </row>
    <row r="31" ht="18" customHeight="1">
      <c r="A31" s="18" t="inlineStr">
        <is>
          <t>›</t>
        </is>
      </c>
      <c r="B31" s="6" t="inlineStr">
        <is>
          <t>Pay attention to V01/V02  node name mismatches are the most common error.</t>
        </is>
      </c>
      <c r="C31" s="100" t="n"/>
      <c r="D31" s="100" t="n"/>
    </row>
    <row r="33" ht="21.75" customHeight="1">
      <c r="A33" s="5" t="inlineStr">
        <is>
          <t>STEP 5  EXPORT TO PYTHON SOLVER</t>
        </is>
      </c>
    </row>
    <row r="34" ht="18" customHeight="1">
      <c r="A34" s="19" t="inlineStr">
        <is>
          <t>›</t>
        </is>
      </c>
      <c r="B34" s="4" t="inlineStr">
        <is>
          <t>The Python solver reads this file with: pd.read_excel('network.xlsx', sheet_name='NODES')</t>
        </is>
      </c>
      <c r="C34" s="100" t="n"/>
      <c r="D34" s="100" t="n"/>
    </row>
    <row r="35" ht="18" customHeight="1">
      <c r="A35" s="19" t="inlineStr">
        <is>
          <t>›</t>
        </is>
      </c>
      <c r="B35" s="4" t="inlineStr">
        <is>
          <t>And: pd.read_excel('network.xlsx', sheet_name='PIPES')</t>
        </is>
      </c>
      <c r="C35" s="100" t="n"/>
      <c r="D35" s="100" t="n"/>
    </row>
    <row r="36" ht="18" customHeight="1">
      <c r="A36" s="19" t="inlineStr">
        <is>
          <t>›</t>
        </is>
      </c>
      <c r="B36" s="4" t="inlineStr">
        <is>
          <t>Solver uses columns: Node_ID, Node_Type, Known_P_kPa_g, Eff_Demand_Sm3h, Elevation_m</t>
        </is>
      </c>
      <c r="C36" s="100" t="n"/>
      <c r="D36" s="100" t="n"/>
    </row>
    <row r="37" ht="18" customHeight="1">
      <c r="A37" s="19" t="inlineStr">
        <is>
          <t>›</t>
        </is>
      </c>
      <c r="B37" s="4" t="inlineStr">
        <is>
          <t>Solver uses columns: Pipe_ID, From_Node, To_Node, Length_m_SI, ID_m_SI, Rough_m_SI, Status</t>
        </is>
      </c>
      <c r="C37" s="100" t="n"/>
      <c r="D37" s="100" t="n"/>
    </row>
    <row r="38" ht="18" customHeight="1">
      <c r="A38" s="19" t="inlineStr">
        <is>
          <t>›</t>
        </is>
      </c>
      <c r="B38" s="4" t="inlineStr">
        <is>
          <t>Only pipes with Status = 'open' are included in the solve.</t>
        </is>
      </c>
      <c r="C38" s="100" t="n"/>
      <c r="D38" s="100" t="n"/>
    </row>
    <row r="39" ht="18" customHeight="1">
      <c r="A39" s="19" t="inlineStr">
        <is>
          <t>›</t>
        </is>
      </c>
      <c r="B39" s="4" t="inlineStr">
        <is>
          <t>Converged pressures and flows are written back to a RESULTS sheet automatically.</t>
        </is>
      </c>
      <c r="C39" s="100" t="n"/>
      <c r="D39" s="100" t="n"/>
    </row>
  </sheetData>
  <mergeCells count="34">
    <mergeCell ref="B11:D11"/>
    <mergeCell ref="A17:D17"/>
    <mergeCell ref="B14:D14"/>
    <mergeCell ref="A8:D8"/>
    <mergeCell ref="B23:D23"/>
    <mergeCell ref="B13:D13"/>
    <mergeCell ref="B29:D29"/>
    <mergeCell ref="B38:D38"/>
    <mergeCell ref="B34:D34"/>
    <mergeCell ref="B10:D10"/>
    <mergeCell ref="B28:D28"/>
    <mergeCell ref="B19:D19"/>
    <mergeCell ref="B37:D37"/>
    <mergeCell ref="B9:D9"/>
    <mergeCell ref="B30:D30"/>
    <mergeCell ref="B15:D15"/>
    <mergeCell ref="B6:D6"/>
    <mergeCell ref="B24:D24"/>
    <mergeCell ref="B20:D20"/>
    <mergeCell ref="A1:D1"/>
    <mergeCell ref="B36:D36"/>
    <mergeCell ref="B5:D5"/>
    <mergeCell ref="B35:D35"/>
    <mergeCell ref="B4:D4"/>
    <mergeCell ref="B25:D25"/>
    <mergeCell ref="A27:D27"/>
    <mergeCell ref="B31:D31"/>
    <mergeCell ref="B22:D22"/>
    <mergeCell ref="A3:D3"/>
    <mergeCell ref="B18:D18"/>
    <mergeCell ref="B21:D21"/>
    <mergeCell ref="A33:D33"/>
    <mergeCell ref="B12:D12"/>
    <mergeCell ref="B39:D3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Q47"/>
  <sheetViews>
    <sheetView zoomScale="115" zoomScaleNormal="115" workbookViewId="0">
      <pane ySplit="2" topLeftCell="A3" activePane="bottomLeft" state="frozen"/>
      <selection pane="bottomLeft" activeCell="G7" sqref="G7:G12"/>
    </sheetView>
  </sheetViews>
  <sheetFormatPr baseColWidth="8" defaultColWidth="8.7109375" defaultRowHeight="15"/>
  <cols>
    <col width="10" customWidth="1" min="1" max="1"/>
    <col width="12" customWidth="1" min="2" max="2"/>
    <col width="22" customWidth="1" min="3" max="3"/>
    <col width="10" customWidth="1" min="4" max="4"/>
    <col width="14" customWidth="1" min="5" max="5"/>
    <col width="16" customWidth="1" min="6" max="7"/>
    <col width="14" customWidth="1" min="8" max="8"/>
    <col width="16" customWidth="1" min="9" max="9"/>
    <col width="18" customWidth="1" min="10" max="10"/>
    <col width="14" customWidth="1" min="11" max="11"/>
    <col width="12" customWidth="1" min="12" max="13"/>
    <col width="16" customWidth="1" min="15" max="15"/>
    <col width="32" customWidth="1" min="16" max="16"/>
    <col width="2" customWidth="1" min="17" max="17"/>
  </cols>
  <sheetData>
    <row r="1" ht="27.75" customHeight="1">
      <c r="A1" s="3" t="inlineStr">
        <is>
          <t>GAS DISTRIBUTION NETWORK  NODE TABLE   |   PE80  ·  4 bar(g)  ·  SI Units</t>
        </is>
      </c>
    </row>
    <row r="2" ht="39.75" customHeight="1">
      <c r="A2" s="20" t="inlineStr">
        <is>
          <t>Node_ID</t>
        </is>
      </c>
      <c r="B2" s="20" t="inlineStr">
        <is>
          <t>Node_Type</t>
        </is>
      </c>
      <c r="C2" s="20" t="inlineStr">
        <is>
          <t>Name</t>
        </is>
      </c>
      <c r="D2" s="20" t="inlineStr">
        <is>
          <t>Zone</t>
        </is>
      </c>
      <c r="E2" s="20" t="inlineStr">
        <is>
          <t>Elevation_m</t>
        </is>
      </c>
      <c r="F2" s="20" t="inlineStr">
        <is>
          <t>Known_P_kPa_g</t>
        </is>
      </c>
      <c r="G2" s="20" t="inlineStr">
        <is>
          <t>Demand_Sm3h</t>
        </is>
      </c>
      <c r="H2" s="20" t="inlineStr">
        <is>
          <t>Demand_Type</t>
        </is>
      </c>
      <c r="I2" s="20" t="inlineStr">
        <is>
          <t>Diversity_Factor</t>
        </is>
      </c>
      <c r="J2" s="20" t="inlineStr">
        <is>
          <t>Eff_Demand_Sm3h</t>
        </is>
      </c>
      <c r="K2" s="20" t="inlineStr">
        <is>
          <t>Min_P_kPa_g</t>
        </is>
      </c>
      <c r="L2" s="20" t="inlineStr">
        <is>
          <t>X_Coord</t>
        </is>
      </c>
      <c r="M2" s="20" t="inlineStr">
        <is>
          <t>Y_Coord</t>
        </is>
      </c>
      <c r="O2" s="2" t="inlineStr">
        <is>
          <t>LEGEND</t>
        </is>
      </c>
    </row>
    <row r="3">
      <c r="A3" s="21" t="inlineStr">
        <is>
          <t>N001</t>
        </is>
      </c>
      <c r="B3" s="22" t="inlineStr">
        <is>
          <t>source</t>
        </is>
      </c>
      <c r="C3" s="23" t="inlineStr">
        <is>
          <t>PRS1</t>
        </is>
      </c>
      <c r="D3" s="24" t="inlineStr">
        <is>
          <t>Zone_A</t>
        </is>
      </c>
      <c r="E3" s="23" t="n">
        <v>0</v>
      </c>
      <c r="F3" s="25" t="n">
        <v>400</v>
      </c>
      <c r="G3" s="26" t="n"/>
      <c r="H3" s="24" t="n"/>
      <c r="I3" s="27" t="n"/>
      <c r="J3" s="27" t="n"/>
      <c r="K3" s="26" t="n"/>
      <c r="L3" s="23" t="n">
        <v>338450</v>
      </c>
      <c r="M3" s="23" t="n">
        <v>3318200</v>
      </c>
      <c r="O3" s="28" t="inlineStr">
        <is>
          <t>Source Node</t>
        </is>
      </c>
      <c r="P3" s="1" t="inlineStr">
        <is>
          <t>Fixed pressure boundary  Known_P_kPa filled</t>
        </is>
      </c>
      <c r="Q3" s="101" t="n"/>
    </row>
    <row r="4">
      <c r="A4" s="29" t="inlineStr">
        <is>
          <t>N002</t>
        </is>
      </c>
      <c r="B4" s="30" t="inlineStr">
        <is>
          <t>junction</t>
        </is>
      </c>
      <c r="C4" s="31" t="inlineStr">
        <is>
          <t>TEE1</t>
        </is>
      </c>
      <c r="D4" s="32" t="inlineStr">
        <is>
          <t>Zone_A</t>
        </is>
      </c>
      <c r="E4" s="23" t="n">
        <v>0</v>
      </c>
      <c r="F4" s="33" t="n"/>
      <c r="G4" s="33" t="n">
        <v>0</v>
      </c>
      <c r="H4" s="32" t="n"/>
      <c r="I4" s="34" t="n">
        <v>1</v>
      </c>
      <c r="J4" s="35">
        <f>G4*I4</f>
        <v/>
      </c>
      <c r="K4" s="33" t="n"/>
      <c r="L4" s="31" t="n">
        <v>338720</v>
      </c>
      <c r="M4" s="31" t="n">
        <v>3318200</v>
      </c>
      <c r="O4" s="36" t="inlineStr">
        <is>
          <t>Offtake Node</t>
        </is>
      </c>
      <c r="P4" s="1" t="inlineStr">
        <is>
          <t>Known demand  Demand_Sm3h + DF filled</t>
        </is>
      </c>
      <c r="Q4" s="101" t="n"/>
    </row>
    <row r="5">
      <c r="A5" s="21" t="inlineStr">
        <is>
          <t>N003</t>
        </is>
      </c>
      <c r="B5" s="30" t="inlineStr">
        <is>
          <t>junction</t>
        </is>
      </c>
      <c r="C5" s="23" t="inlineStr">
        <is>
          <t>TEE2</t>
        </is>
      </c>
      <c r="D5" s="24" t="inlineStr">
        <is>
          <t>Zone_A</t>
        </is>
      </c>
      <c r="E5" s="23" t="n">
        <v>0</v>
      </c>
      <c r="F5" s="26" t="n"/>
      <c r="G5" s="26" t="n">
        <v>0</v>
      </c>
      <c r="H5" s="24" t="n"/>
      <c r="I5" s="37" t="n">
        <v>1</v>
      </c>
      <c r="J5" s="38">
        <f>G5*I5</f>
        <v/>
      </c>
      <c r="K5" s="26" t="n"/>
      <c r="L5" s="23" t="n">
        <v>338720</v>
      </c>
      <c r="M5" s="23" t="n">
        <v>3318480</v>
      </c>
      <c r="O5" s="39" t="inlineStr">
        <is>
          <t>Junction Node</t>
        </is>
      </c>
      <c r="P5" s="1" t="inlineStr">
        <is>
          <t>Zero demand  solver computes pressure</t>
        </is>
      </c>
      <c r="Q5" s="101" t="n"/>
    </row>
    <row r="6">
      <c r="A6" s="29" t="inlineStr">
        <is>
          <t>N004</t>
        </is>
      </c>
      <c r="B6" s="30" t="inlineStr">
        <is>
          <t>junction</t>
        </is>
      </c>
      <c r="C6" s="31" t="inlineStr">
        <is>
          <t>TEE3</t>
        </is>
      </c>
      <c r="D6" s="32" t="inlineStr">
        <is>
          <t>Zone_B</t>
        </is>
      </c>
      <c r="E6" s="23" t="n">
        <v>0</v>
      </c>
      <c r="F6" s="33" t="n"/>
      <c r="G6" s="33" t="n">
        <v>0</v>
      </c>
      <c r="H6" s="32" t="n"/>
      <c r="I6" s="34" t="n">
        <v>1</v>
      </c>
      <c r="J6" s="35">
        <f>G6*I6</f>
        <v/>
      </c>
      <c r="K6" s="33" t="n"/>
      <c r="L6" s="31" t="n">
        <v>338720</v>
      </c>
      <c r="M6" s="31" t="n">
        <v>3317920</v>
      </c>
      <c r="O6" s="40" t="inlineStr">
        <is>
          <t>Known_P cell</t>
        </is>
      </c>
      <c r="P6" s="1" t="inlineStr">
        <is>
          <t>Fixed boundary pressure (sources only)</t>
        </is>
      </c>
      <c r="Q6" s="101" t="n"/>
    </row>
    <row r="7">
      <c r="A7" s="21" t="inlineStr">
        <is>
          <t>N005</t>
        </is>
      </c>
      <c r="B7" s="41" t="inlineStr">
        <is>
          <t>offtake</t>
        </is>
      </c>
      <c r="C7" s="23" t="inlineStr">
        <is>
          <t>Client1</t>
        </is>
      </c>
      <c r="D7" s="24" t="inlineStr">
        <is>
          <t>Zone_A</t>
        </is>
      </c>
      <c r="E7" s="23" t="n">
        <v>0</v>
      </c>
      <c r="F7" s="26" t="n"/>
      <c r="G7" s="42" t="n">
        <v>1000</v>
      </c>
      <c r="H7" s="24" t="inlineStr">
        <is>
          <t>industrial</t>
        </is>
      </c>
      <c r="I7" s="43" t="n">
        <v>1</v>
      </c>
      <c r="J7" s="44">
        <f>G7*I7</f>
        <v/>
      </c>
      <c r="K7" s="45" t="n">
        <v>390</v>
      </c>
      <c r="L7" s="23" t="n">
        <v>338980</v>
      </c>
      <c r="M7" s="23" t="n">
        <v>3318580</v>
      </c>
      <c r="O7" s="36" t="inlineStr">
        <is>
          <t>Demand cell</t>
        </is>
      </c>
      <c r="P7" s="1" t="inlineStr">
        <is>
          <t>Raw peak demand (offtakes only)</t>
        </is>
      </c>
      <c r="Q7" s="101" t="n"/>
    </row>
    <row r="8">
      <c r="A8" s="29" t="inlineStr">
        <is>
          <t>N006</t>
        </is>
      </c>
      <c r="B8" s="41" t="inlineStr">
        <is>
          <t>offtake</t>
        </is>
      </c>
      <c r="C8" s="31" t="inlineStr">
        <is>
          <t>Client2</t>
        </is>
      </c>
      <c r="D8" s="32" t="inlineStr">
        <is>
          <t>Zone_A</t>
        </is>
      </c>
      <c r="E8" s="23" t="n">
        <v>0</v>
      </c>
      <c r="F8" s="33" t="n"/>
      <c r="G8" s="42" t="n">
        <v>750</v>
      </c>
      <c r="H8" s="32" t="inlineStr">
        <is>
          <t>industrial</t>
        </is>
      </c>
      <c r="I8" s="43" t="n">
        <v>1</v>
      </c>
      <c r="J8" s="44">
        <f>G8*I8</f>
        <v/>
      </c>
      <c r="K8" s="46" t="n">
        <v>390</v>
      </c>
      <c r="L8" s="31" t="n">
        <v>338980</v>
      </c>
      <c r="M8" s="31" t="n">
        <v>3318380</v>
      </c>
      <c r="O8" s="47" t="inlineStr">
        <is>
          <t>Div. Factor</t>
        </is>
      </c>
      <c r="P8" s="1" t="inlineStr">
        <is>
          <t>Simultaneity factor 0–1</t>
        </is>
      </c>
      <c r="Q8" s="101" t="n"/>
    </row>
    <row r="9">
      <c r="A9" s="21" t="inlineStr">
        <is>
          <t>N007</t>
        </is>
      </c>
      <c r="B9" s="41" t="inlineStr">
        <is>
          <t>offtake</t>
        </is>
      </c>
      <c r="C9" s="23" t="inlineStr">
        <is>
          <t>Client3</t>
        </is>
      </c>
      <c r="D9" s="24" t="inlineStr">
        <is>
          <t>Zone_B</t>
        </is>
      </c>
      <c r="E9" s="23" t="n">
        <v>0</v>
      </c>
      <c r="F9" s="26" t="n"/>
      <c r="G9" s="42" t="n">
        <v>500</v>
      </c>
      <c r="H9" s="24" t="inlineStr">
        <is>
          <t>industrial</t>
        </is>
      </c>
      <c r="I9" s="43" t="n">
        <v>1</v>
      </c>
      <c r="J9" s="44">
        <f>G9*I9</f>
        <v/>
      </c>
      <c r="K9" s="45" t="n">
        <v>390</v>
      </c>
      <c r="L9" s="23" t="n">
        <v>338980</v>
      </c>
      <c r="M9" s="23" t="n">
        <v>3317920</v>
      </c>
      <c r="O9" s="48" t="inlineStr">
        <is>
          <t>Eff_Demand</t>
        </is>
      </c>
      <c r="P9" s="1" t="inlineStr">
        <is>
          <t>Formula = Demand × DF → passed to solver</t>
        </is>
      </c>
      <c r="Q9" s="101" t="n"/>
    </row>
    <row r="10">
      <c r="A10" s="29" t="inlineStr">
        <is>
          <t>N008</t>
        </is>
      </c>
      <c r="B10" s="41" t="inlineStr">
        <is>
          <t>offtake</t>
        </is>
      </c>
      <c r="C10" s="31" t="inlineStr">
        <is>
          <t>Client4</t>
        </is>
      </c>
      <c r="D10" s="32" t="inlineStr">
        <is>
          <t>Zone_B</t>
        </is>
      </c>
      <c r="E10" s="23" t="n">
        <v>0</v>
      </c>
      <c r="F10" s="33" t="n"/>
      <c r="G10" s="42" t="n">
        <v>600</v>
      </c>
      <c r="H10" s="32" t="inlineStr">
        <is>
          <t>industrial</t>
        </is>
      </c>
      <c r="I10" s="43" t="n">
        <v>1</v>
      </c>
      <c r="J10" s="44">
        <f>G10*I10</f>
        <v/>
      </c>
      <c r="K10" s="46" t="n">
        <v>390</v>
      </c>
      <c r="L10" s="31" t="n">
        <v>338980</v>
      </c>
      <c r="M10" s="31" t="n">
        <v>3317780</v>
      </c>
      <c r="O10" s="49" t="inlineStr">
        <is>
          <t>⚠ ERROR</t>
        </is>
      </c>
      <c r="P10" s="1" t="inlineStr">
        <is>
          <t>Red = data entry conflict  fix before running solver</t>
        </is>
      </c>
      <c r="Q10" s="101" t="n"/>
    </row>
    <row r="11">
      <c r="A11" s="21" t="inlineStr">
        <is>
          <t>N009</t>
        </is>
      </c>
      <c r="B11" s="22" t="inlineStr">
        <is>
          <t>source</t>
        </is>
      </c>
      <c r="C11" s="23" t="inlineStr">
        <is>
          <t>PRS2</t>
        </is>
      </c>
      <c r="D11" s="24" t="inlineStr">
        <is>
          <t>Zone_B</t>
        </is>
      </c>
      <c r="E11" s="23" t="n">
        <v>0</v>
      </c>
      <c r="F11" s="25" t="n">
        <v>400</v>
      </c>
      <c r="G11" s="26" t="n"/>
      <c r="H11" s="24" t="n"/>
      <c r="I11" s="27" t="n"/>
      <c r="J11" s="27" t="n"/>
      <c r="K11" s="26" t="n"/>
      <c r="L11" s="23" t="n">
        <v>338200</v>
      </c>
      <c r="M11" s="23" t="n">
        <v>3317600</v>
      </c>
    </row>
    <row r="12">
      <c r="A12" s="29" t="inlineStr">
        <is>
          <t>N010</t>
        </is>
      </c>
      <c r="B12" s="41" t="inlineStr">
        <is>
          <t>offtake</t>
        </is>
      </c>
      <c r="C12" s="31" t="inlineStr">
        <is>
          <t>Client5</t>
        </is>
      </c>
      <c r="D12" s="32" t="inlineStr">
        <is>
          <t>Zone_B</t>
        </is>
      </c>
      <c r="E12" s="23" t="n">
        <v>0</v>
      </c>
      <c r="F12" s="33" t="n"/>
      <c r="G12" s="42" t="n">
        <v>210</v>
      </c>
      <c r="H12" s="32" t="inlineStr">
        <is>
          <t>industrial</t>
        </is>
      </c>
      <c r="I12" s="43" t="n">
        <v>1</v>
      </c>
      <c r="J12" s="44">
        <f>G12*I12</f>
        <v/>
      </c>
      <c r="K12" s="46" t="n">
        <v>390</v>
      </c>
      <c r="L12" s="31" t="n">
        <v>338980</v>
      </c>
      <c r="M12" s="31" t="n">
        <v>3317620</v>
      </c>
    </row>
    <row r="13">
      <c r="A13" s="99" t="n"/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</row>
    <row r="14"/>
    <row r="15">
      <c r="A15" s="98" t="n"/>
      <c r="L15" s="98" t="n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mergeCells count="13">
    <mergeCell ref="P9:Q9"/>
    <mergeCell ref="P4:Q4"/>
    <mergeCell ref="P3:Q3"/>
    <mergeCell ref="A1:M1"/>
    <mergeCell ref="P7:Q7"/>
    <mergeCell ref="P6:Q6"/>
    <mergeCell ref="P8:Q8"/>
    <mergeCell ref="L15:M47"/>
    <mergeCell ref="P10:Q10"/>
    <mergeCell ref="A13:M14"/>
    <mergeCell ref="P5:Q5"/>
    <mergeCell ref="A15:K47"/>
    <mergeCell ref="O2:Q2"/>
  </mergeCells>
  <conditionalFormatting sqref="F3:F12 F48:F500">
    <cfRule type="expression" priority="2" dxfId="2">
      <formula>AND(F3&lt;&gt;"",B3&lt;&gt;"source")</formula>
    </cfRule>
  </conditionalFormatting>
  <conditionalFormatting sqref="G3:G12 G48:G500">
    <cfRule type="expression" priority="3" dxfId="2">
      <formula>AND(G3&gt;0,B3="source")</formula>
    </cfRule>
  </conditionalFormatting>
  <dataValidations count="3">
    <dataValidation sqref="B3:B12 B48:B500" showDropDown="0" showInputMessage="0" showErrorMessage="1" allowBlank="0" errorTitle="Invalid type" error="Choose: source, junction, or offtake" type="list">
      <formula1>"source,junction,offtake"</formula1>
      <formula2>0</formula2>
    </dataValidation>
    <dataValidation sqref="H3:H12 H48:H500" showDropDown="0" showInputMessage="0" showErrorMessage="1" allowBlank="0" errorTitle="Invalid demand type" error="Choose: residential, commercial, or industrial" type="list">
      <formula1>"residential,commercial,industrial"</formula1>
      <formula2>0</formula2>
    </dataValidation>
    <dataValidation sqref="I3:I12 I48:I500" showDropDown="0" showInputMessage="0" showErrorMessage="1" allowBlank="0" errorTitle="Invalid diversity factor" error="Diversity factor must be between 0 and 1" type="decimal">
      <formula1>0</formula1>
      <formula2>1</formula2>
    </dataValidation>
  </dataValidations>
  <pageMargins left="0.75" right="0.75" top="1" bottom="1" header="0.511811023622047" footer="0.511811023622047"/>
  <pageSetup orientation="landscape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55A11"/>
    <outlinePr summaryBelow="1" summaryRight="1"/>
    <pageSetUpPr fitToPage="1"/>
  </sheetPr>
  <dimension ref="A1:R11"/>
  <sheetViews>
    <sheetView zoomScale="130" zoomScaleNormal="130" workbookViewId="0">
      <pane ySplit="2" topLeftCell="A3" activePane="bottomLeft" state="frozen"/>
      <selection pane="bottomLeft" activeCell="P24" sqref="P24"/>
    </sheetView>
  </sheetViews>
  <sheetFormatPr baseColWidth="8" defaultColWidth="8.7109375" defaultRowHeight="15"/>
  <cols>
    <col width="10" customWidth="1" min="1" max="1"/>
    <col width="12" customWidth="1" min="2" max="4"/>
    <col width="10" customWidth="1" min="5" max="5"/>
    <col width="8" customWidth="1" min="6" max="6"/>
    <col width="12" customWidth="1" min="7" max="7"/>
    <col width="14" customWidth="1" min="8" max="9"/>
    <col width="12" customWidth="1" min="10" max="14"/>
    <col width="12" customWidth="1" min="16" max="17"/>
    <col width="16.5703125" customWidth="1" min="18" max="18"/>
  </cols>
  <sheetData>
    <row r="1" ht="27.75" customHeight="1">
      <c r="A1" s="94" t="inlineStr">
        <is>
          <t>GAS DISTRIBUTION NETWORK  PIPE TABLE   |   PE80  ·  4 bar(g)  ·  SI Units</t>
        </is>
      </c>
    </row>
    <row r="2" ht="39.75" customHeight="1">
      <c r="A2" s="50" t="inlineStr">
        <is>
          <t>Pipe_ID</t>
        </is>
      </c>
      <c r="B2" s="50" t="inlineStr">
        <is>
          <t>From_Node</t>
        </is>
      </c>
      <c r="C2" s="50" t="inlineStr">
        <is>
          <t>To_Node</t>
        </is>
      </c>
      <c r="D2" s="50" t="inlineStr">
        <is>
          <t>Length_m</t>
        </is>
      </c>
      <c r="E2" s="50" t="inlineStr">
        <is>
          <t>OD_mm</t>
        </is>
      </c>
      <c r="F2" s="50" t="inlineStr">
        <is>
          <t>SDR</t>
        </is>
      </c>
      <c r="G2" s="50" t="inlineStr">
        <is>
          <t>ID_mm</t>
        </is>
      </c>
      <c r="H2" s="50" t="inlineStr">
        <is>
          <t>Material</t>
        </is>
      </c>
      <c r="I2" s="50" t="inlineStr">
        <is>
          <t>Roughness_mm</t>
        </is>
      </c>
      <c r="J2" s="50" t="inlineStr">
        <is>
          <t>Year_Install</t>
        </is>
      </c>
      <c r="K2" s="50" t="inlineStr">
        <is>
          <t>Status</t>
        </is>
      </c>
      <c r="L2" s="51" t="inlineStr">
        <is>
          <t>Length_m
(Solver)</t>
        </is>
      </c>
      <c r="M2" s="51" t="inlineStr">
        <is>
          <t>ID_m
(Solver)</t>
        </is>
      </c>
      <c r="N2" s="51" t="inlineStr">
        <is>
          <t>Rough_m
(Solver)</t>
        </is>
      </c>
      <c r="P2" s="95" t="inlineStr">
        <is>
          <t>PE80 SDR → MOP</t>
        </is>
      </c>
    </row>
    <row r="3">
      <c r="A3" s="52" t="inlineStr">
        <is>
          <t>P001</t>
        </is>
      </c>
      <c r="B3" s="53" t="inlineStr">
        <is>
          <t>N001</t>
        </is>
      </c>
      <c r="C3" s="53" t="inlineStr">
        <is>
          <t>N002</t>
        </is>
      </c>
      <c r="D3" s="54" t="n">
        <v>850</v>
      </c>
      <c r="E3" s="55" t="n">
        <v>250</v>
      </c>
      <c r="F3" s="56" t="n">
        <v>11</v>
      </c>
      <c r="G3" s="57">
        <f>E3*(1-2/F3)</f>
        <v/>
      </c>
      <c r="H3" s="58" t="inlineStr">
        <is>
          <t>PE80</t>
        </is>
      </c>
      <c r="I3" s="59">
        <f>IFERROR(VLOOKUP(H3,MATERIALS!$A$3:$B$20,2,0),"⚠ Check material")</f>
        <v/>
      </c>
      <c r="J3" s="24" t="n">
        <v>2018</v>
      </c>
      <c r="K3" s="41" t="inlineStr">
        <is>
          <t>open</t>
        </is>
      </c>
      <c r="L3" s="60">
        <f>D3</f>
        <v/>
      </c>
      <c r="M3" s="61">
        <f>G3/1000</f>
        <v/>
      </c>
      <c r="N3" s="62">
        <f>I3/1000</f>
        <v/>
      </c>
      <c r="P3" s="63" t="inlineStr">
        <is>
          <t>SDR</t>
        </is>
      </c>
      <c r="Q3" s="63" t="inlineStr">
        <is>
          <t>MOP (bar)</t>
        </is>
      </c>
      <c r="R3" s="63" t="inlineStr">
        <is>
          <t>Notes</t>
        </is>
      </c>
    </row>
    <row r="4">
      <c r="A4" s="64" t="inlineStr">
        <is>
          <t>P002</t>
        </is>
      </c>
      <c r="B4" s="65" t="inlineStr">
        <is>
          <t>N002</t>
        </is>
      </c>
      <c r="C4" s="65" t="inlineStr">
        <is>
          <t>N003</t>
        </is>
      </c>
      <c r="D4" s="66" t="n">
        <v>420</v>
      </c>
      <c r="E4" s="67" t="n">
        <v>250</v>
      </c>
      <c r="F4" s="68" t="n">
        <v>11</v>
      </c>
      <c r="G4" s="57">
        <f>E4*(1-2/F4)</f>
        <v/>
      </c>
      <c r="H4" s="69" t="inlineStr">
        <is>
          <t>PE80</t>
        </is>
      </c>
      <c r="I4" s="59">
        <f>IFERROR(VLOOKUP(H4,MATERIALS!$A$3:$B$20,2,0),"⚠ Check material")</f>
        <v/>
      </c>
      <c r="J4" s="32" t="n">
        <v>2018</v>
      </c>
      <c r="K4" s="41" t="inlineStr">
        <is>
          <t>open</t>
        </is>
      </c>
      <c r="L4" s="60">
        <f>D4</f>
        <v/>
      </c>
      <c r="M4" s="61">
        <f>G4/1000</f>
        <v/>
      </c>
      <c r="N4" s="62">
        <f>I4/1000</f>
        <v/>
      </c>
      <c r="P4" s="40" t="inlineStr">
        <is>
          <t>SDR 11</t>
        </is>
      </c>
      <c r="Q4" s="40" t="n">
        <v>4</v>
      </c>
      <c r="R4" s="40" t="inlineStr">
        <is>
          <t>★ This network</t>
        </is>
      </c>
    </row>
    <row r="5">
      <c r="A5" s="52" t="inlineStr">
        <is>
          <t>P003</t>
        </is>
      </c>
      <c r="B5" s="53" t="inlineStr">
        <is>
          <t>N002</t>
        </is>
      </c>
      <c r="C5" s="53" t="inlineStr">
        <is>
          <t>N004</t>
        </is>
      </c>
      <c r="D5" s="54" t="n">
        <v>380</v>
      </c>
      <c r="E5" s="55" t="n">
        <v>250</v>
      </c>
      <c r="F5" s="56" t="n">
        <v>11</v>
      </c>
      <c r="G5" s="57">
        <f>E5*(1-2/F5)</f>
        <v/>
      </c>
      <c r="H5" s="58" t="inlineStr">
        <is>
          <t>PE80</t>
        </is>
      </c>
      <c r="I5" s="59">
        <f>IFERROR(VLOOKUP(H5,MATERIALS!$A$3:$B$20,2,0),"⚠ Check material")</f>
        <v/>
      </c>
      <c r="J5" s="24" t="n">
        <v>2017</v>
      </c>
      <c r="K5" s="41" t="inlineStr">
        <is>
          <t>open</t>
        </is>
      </c>
      <c r="L5" s="60">
        <f>D5</f>
        <v/>
      </c>
      <c r="M5" s="61">
        <f>G5/1000</f>
        <v/>
      </c>
      <c r="N5" s="62">
        <f>I5/1000</f>
        <v/>
      </c>
      <c r="P5" s="70" t="inlineStr">
        <is>
          <t>SDR 17</t>
        </is>
      </c>
      <c r="Q5" s="70" t="inlineStr">
        <is>
          <t>4.0</t>
        </is>
      </c>
    </row>
    <row r="6">
      <c r="A6" s="64" t="inlineStr">
        <is>
          <t>P004</t>
        </is>
      </c>
      <c r="B6" s="65" t="inlineStr">
        <is>
          <t>N003</t>
        </is>
      </c>
      <c r="C6" s="65" t="inlineStr">
        <is>
          <t>N005</t>
        </is>
      </c>
      <c r="D6" s="66" t="n">
        <v>400</v>
      </c>
      <c r="E6" s="67" t="n">
        <v>180</v>
      </c>
      <c r="F6" s="68" t="n">
        <v>11</v>
      </c>
      <c r="G6" s="57">
        <f>E6*(1-2/F6)</f>
        <v/>
      </c>
      <c r="H6" s="69" t="inlineStr">
        <is>
          <t>PE80</t>
        </is>
      </c>
      <c r="I6" s="59">
        <f>IFERROR(VLOOKUP(H6,MATERIALS!$A$3:$B$20,2,0),"⚠ Check material")</f>
        <v/>
      </c>
      <c r="J6" s="32" t="n">
        <v>2019</v>
      </c>
      <c r="K6" s="41" t="inlineStr">
        <is>
          <t>open</t>
        </is>
      </c>
      <c r="L6" s="60">
        <f>D6</f>
        <v/>
      </c>
      <c r="M6" s="61">
        <f>G6/1000</f>
        <v/>
      </c>
      <c r="N6" s="62">
        <f>I6/1000</f>
        <v/>
      </c>
      <c r="P6" s="70" t="n"/>
      <c r="Q6" s="70" t="n"/>
      <c r="R6" s="70" t="n"/>
    </row>
    <row r="7">
      <c r="A7" s="52" t="inlineStr">
        <is>
          <t>P005</t>
        </is>
      </c>
      <c r="B7" s="53" t="inlineStr">
        <is>
          <t>N003</t>
        </is>
      </c>
      <c r="C7" s="53" t="inlineStr">
        <is>
          <t>N006</t>
        </is>
      </c>
      <c r="D7" s="54" t="n">
        <v>290</v>
      </c>
      <c r="E7" s="55" t="n">
        <v>180</v>
      </c>
      <c r="F7" s="56" t="n">
        <v>11</v>
      </c>
      <c r="G7" s="57">
        <f>E7*(1-2/F7)</f>
        <v/>
      </c>
      <c r="H7" s="58" t="inlineStr">
        <is>
          <t>PE80</t>
        </is>
      </c>
      <c r="I7" s="59">
        <f>IFERROR(VLOOKUP(H7,MATERIALS!$A$3:$B$20,2,0),"⚠ Check material")</f>
        <v/>
      </c>
      <c r="J7" s="24" t="n">
        <v>2019</v>
      </c>
      <c r="K7" s="41" t="inlineStr">
        <is>
          <t>open</t>
        </is>
      </c>
      <c r="L7" s="60">
        <f>D7</f>
        <v/>
      </c>
      <c r="M7" s="61">
        <f>G7/1000</f>
        <v/>
      </c>
      <c r="N7" s="62">
        <f>I7/1000</f>
        <v/>
      </c>
      <c r="P7" s="70" t="n"/>
      <c r="Q7" s="70" t="n"/>
      <c r="R7" s="70" t="n"/>
    </row>
    <row r="8">
      <c r="A8" s="64" t="inlineStr">
        <is>
          <t>P006</t>
        </is>
      </c>
      <c r="B8" s="65" t="inlineStr">
        <is>
          <t>N004</t>
        </is>
      </c>
      <c r="C8" s="65" t="inlineStr">
        <is>
          <t>N007</t>
        </is>
      </c>
      <c r="D8" s="66" t="n">
        <v>260</v>
      </c>
      <c r="E8" s="67" t="n">
        <v>110</v>
      </c>
      <c r="F8" s="68" t="n">
        <v>11</v>
      </c>
      <c r="G8" s="57">
        <f>E8*(1-2/F8)</f>
        <v/>
      </c>
      <c r="H8" s="69" t="inlineStr">
        <is>
          <t>PE80</t>
        </is>
      </c>
      <c r="I8" s="59">
        <f>IFERROR(VLOOKUP(H8,MATERIALS!$A$3:$B$20,2,0),"⚠ Check material")</f>
        <v/>
      </c>
      <c r="J8" s="32" t="n">
        <v>2020</v>
      </c>
      <c r="K8" s="41" t="inlineStr">
        <is>
          <t>open</t>
        </is>
      </c>
      <c r="L8" s="60">
        <f>D8</f>
        <v/>
      </c>
      <c r="M8" s="61">
        <f>G8/1000</f>
        <v/>
      </c>
      <c r="N8" s="62">
        <f>I8/1000</f>
        <v/>
      </c>
    </row>
    <row r="9">
      <c r="A9" s="52" t="inlineStr">
        <is>
          <t>P007</t>
        </is>
      </c>
      <c r="B9" s="53" t="inlineStr">
        <is>
          <t>N004</t>
        </is>
      </c>
      <c r="C9" s="53" t="inlineStr">
        <is>
          <t>N008</t>
        </is>
      </c>
      <c r="D9" s="54" t="n">
        <v>440</v>
      </c>
      <c r="E9" s="55" t="n">
        <v>63</v>
      </c>
      <c r="F9" s="68" t="n">
        <v>11</v>
      </c>
      <c r="G9" s="57">
        <f>E9*(1-2/F9)</f>
        <v/>
      </c>
      <c r="H9" s="58" t="inlineStr">
        <is>
          <t>PE80</t>
        </is>
      </c>
      <c r="I9" s="59">
        <f>IFERROR(VLOOKUP(H9,MATERIALS!$A$3:$B$20,2,0),"⚠ Check material")</f>
        <v/>
      </c>
      <c r="J9" s="24" t="n">
        <v>2020</v>
      </c>
      <c r="K9" s="41" t="inlineStr">
        <is>
          <t>open</t>
        </is>
      </c>
      <c r="L9" s="60">
        <f>D9</f>
        <v/>
      </c>
      <c r="M9" s="61">
        <f>G9/1000</f>
        <v/>
      </c>
      <c r="N9" s="62">
        <f>I9/1000</f>
        <v/>
      </c>
    </row>
    <row r="10">
      <c r="A10" s="64" t="inlineStr">
        <is>
          <t>P008</t>
        </is>
      </c>
      <c r="B10" s="65" t="inlineStr">
        <is>
          <t>N009</t>
        </is>
      </c>
      <c r="C10" s="65" t="inlineStr">
        <is>
          <t>N004</t>
        </is>
      </c>
      <c r="D10" s="66" t="n">
        <v>1000</v>
      </c>
      <c r="E10" s="67" t="n">
        <v>250</v>
      </c>
      <c r="F10" s="68" t="n">
        <v>11</v>
      </c>
      <c r="G10" s="57">
        <f>E10*(1-2/F10)</f>
        <v/>
      </c>
      <c r="H10" s="69" t="inlineStr">
        <is>
          <t>PE80</t>
        </is>
      </c>
      <c r="I10" s="59">
        <f>IFERROR(VLOOKUP(H10,MATERIALS!$A$3:$B$20,2,0),"⚠ Check material")</f>
        <v/>
      </c>
      <c r="J10" s="32" t="n">
        <v>2016</v>
      </c>
      <c r="K10" s="41" t="inlineStr">
        <is>
          <t>open</t>
        </is>
      </c>
      <c r="L10" s="60">
        <f>D10</f>
        <v/>
      </c>
      <c r="M10" s="61">
        <f>G10/1000</f>
        <v/>
      </c>
      <c r="N10" s="62">
        <f>I10/1000</f>
        <v/>
      </c>
    </row>
    <row r="11">
      <c r="A11" s="52" t="inlineStr">
        <is>
          <t>P009</t>
        </is>
      </c>
      <c r="B11" s="53" t="inlineStr">
        <is>
          <t>N004</t>
        </is>
      </c>
      <c r="C11" s="53" t="inlineStr">
        <is>
          <t>N010</t>
        </is>
      </c>
      <c r="D11" s="54" t="n">
        <v>457</v>
      </c>
      <c r="E11" s="55" t="n">
        <v>90</v>
      </c>
      <c r="F11" s="68" t="n">
        <v>11</v>
      </c>
      <c r="G11" s="57">
        <f>E11*(1-2/F11)</f>
        <v/>
      </c>
      <c r="H11" s="58" t="inlineStr">
        <is>
          <t>PE80</t>
        </is>
      </c>
      <c r="I11" s="59">
        <f>IFERROR(VLOOKUP(H11,MATERIALS!$A$3:$B$20,2,0),"⚠ Check material")</f>
        <v/>
      </c>
      <c r="J11" s="24" t="n">
        <v>2021</v>
      </c>
      <c r="K11" s="41" t="inlineStr">
        <is>
          <t>open</t>
        </is>
      </c>
      <c r="L11" s="60">
        <f>D11</f>
        <v/>
      </c>
      <c r="M11" s="61">
        <f>G11/1000</f>
        <v/>
      </c>
      <c r="N11" s="62">
        <f>I11/1000</f>
        <v/>
      </c>
    </row>
  </sheetData>
  <mergeCells count="2">
    <mergeCell ref="P2:R2"/>
    <mergeCell ref="A1:N1"/>
  </mergeCells>
  <conditionalFormatting sqref="K3:K499">
    <cfRule type="expression" priority="3" dxfId="2">
      <formula>K3="closed"</formula>
    </cfRule>
    <cfRule type="expression" priority="4" dxfId="3">
      <formula>K3="open"</formula>
    </cfRule>
  </conditionalFormatting>
  <dataValidations disablePrompts="1" count="3">
    <dataValidation sqref="H3:H499" showDropDown="0" showInputMessage="0" showErrorMessage="1" allowBlank="0" errorTitle="Invalid material" error="Choose from the dropdown list" type="list">
      <formula1>"PE80,PE100,Steel_new,Steel_aged,CI"</formula1>
      <formula2>0</formula2>
    </dataValidation>
    <dataValidation sqref="K3:K499" showDropDown="0" showInputMessage="0" showErrorMessage="1" allowBlank="0" errorTitle="Invalid status" error="Choose: open, closed, or throttled" type="list">
      <formula1>"open,closed,throttled"</formula1>
      <formula2>0</formula2>
    </dataValidation>
    <dataValidation sqref="F3:F499" showDropDown="0" showInputMessage="0" showErrorMessage="1" allowBlank="0" errorTitle="Invalid SDR" error="Choose standard SDR class" type="list">
      <formula1>"11,13.6,17,21,26"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375623"/>
    <outlinePr summaryBelow="1" summaryRight="1"/>
    <pageSetUpPr/>
  </sheetPr>
  <dimension ref="A1:F25"/>
  <sheetViews>
    <sheetView zoomScaleNormal="100" workbookViewId="0">
      <selection activeCell="G1" sqref="G1:G1048576"/>
    </sheetView>
  </sheetViews>
  <sheetFormatPr baseColWidth="8" defaultColWidth="8.7109375" defaultRowHeight="15"/>
  <cols>
    <col width="22.42578125" customWidth="1" min="1" max="1"/>
    <col width="14" customWidth="1" min="2" max="4"/>
    <col width="22" customWidth="1" min="5" max="5"/>
    <col width="46" customWidth="1" min="6" max="6"/>
  </cols>
  <sheetData>
    <row r="1" ht="24" customHeight="1">
      <c r="A1" s="96" t="inlineStr">
        <is>
          <t>MATERIAL REFERENCE TABLE   |   Roughness values for Darcy-Weisbach / Swamee-Jain</t>
        </is>
      </c>
    </row>
    <row r="2" ht="19.5" customHeight="1">
      <c r="A2" s="71" t="inlineStr">
        <is>
          <t>Material</t>
        </is>
      </c>
      <c r="B2" s="71" t="inlineStr">
        <is>
          <t>Roughness_mm</t>
        </is>
      </c>
      <c r="C2" s="71" t="inlineStr">
        <is>
          <t>Roughness_m</t>
        </is>
      </c>
      <c r="D2" s="71" t="inlineStr">
        <is>
          <t>MOP_bar</t>
        </is>
      </c>
      <c r="E2" s="71" t="inlineStr">
        <is>
          <t>Standard</t>
        </is>
      </c>
      <c r="F2" s="71" t="inlineStr">
        <is>
          <t>Notes</t>
        </is>
      </c>
    </row>
    <row r="3">
      <c r="A3" s="41" t="inlineStr">
        <is>
          <t>PE80</t>
        </is>
      </c>
      <c r="B3" s="72" t="n">
        <v>0.007</v>
      </c>
      <c r="C3" s="73">
        <f>B3/1000</f>
        <v/>
      </c>
      <c r="D3" s="74" t="n">
        <v>4</v>
      </c>
      <c r="E3" s="75" t="inlineStr">
        <is>
          <t>ISO 4437 / EN 1555</t>
        </is>
      </c>
      <c r="F3" s="75" t="inlineStr">
        <is>
          <t>This network  SDR11 @ 4 bar. Smooth bore.</t>
        </is>
      </c>
    </row>
    <row r="4">
      <c r="A4" s="29" t="inlineStr">
        <is>
          <t>PE100</t>
        </is>
      </c>
      <c r="B4" s="76" t="n">
        <v>0.007</v>
      </c>
      <c r="C4" s="77">
        <f>B4/1000</f>
        <v/>
      </c>
      <c r="D4" s="78" t="n">
        <v>10</v>
      </c>
      <c r="E4" s="33" t="inlineStr">
        <is>
          <t>ISO 4437 / EN 1555</t>
        </is>
      </c>
      <c r="F4" s="33" t="inlineStr">
        <is>
          <t>Higher MRS, same roughness as PE80</t>
        </is>
      </c>
    </row>
    <row r="5">
      <c r="A5" s="21" t="inlineStr">
        <is>
          <t>Steel_new</t>
        </is>
      </c>
      <c r="B5" s="79" t="n">
        <v>0.046</v>
      </c>
      <c r="C5" s="80">
        <f>B5/1000</f>
        <v/>
      </c>
      <c r="D5" s="81" t="n">
        <v>70</v>
      </c>
      <c r="E5" s="26" t="inlineStr">
        <is>
          <t>ASME B31.8</t>
        </is>
      </c>
      <c r="F5" s="26" t="inlineStr">
        <is>
          <t>Commercial steel, new condition</t>
        </is>
      </c>
    </row>
    <row r="6">
      <c r="A6" s="29" t="inlineStr">
        <is>
          <t>Steel_aged</t>
        </is>
      </c>
      <c r="B6" s="76" t="n">
        <v>0.1</v>
      </c>
      <c r="C6" s="77">
        <f>B6/1000</f>
        <v/>
      </c>
      <c r="D6" s="78" t="n">
        <v>70</v>
      </c>
      <c r="E6" s="33" t="inlineStr">
        <is>
          <t>IGEM/TD/3</t>
        </is>
      </c>
      <c r="F6" s="33" t="inlineStr">
        <is>
          <t>Aged steel  use after 20+ years service</t>
        </is>
      </c>
    </row>
    <row r="7">
      <c r="A7" s="21" t="inlineStr">
        <is>
          <t>Steel_coated</t>
        </is>
      </c>
      <c r="B7" s="79" t="n">
        <v>0.02</v>
      </c>
      <c r="C7" s="80">
        <f>B7/1000</f>
        <v/>
      </c>
      <c r="D7" s="81" t="n">
        <v>70</v>
      </c>
      <c r="E7" s="26" t="inlineStr">
        <is>
          <t>ISO 13623</t>
        </is>
      </c>
      <c r="F7" s="26" t="inlineStr">
        <is>
          <t>Internally coated steel transmission</t>
        </is>
      </c>
    </row>
    <row r="8">
      <c r="A8" s="29" t="inlineStr">
        <is>
          <t>CI</t>
        </is>
      </c>
      <c r="B8" s="76" t="n">
        <v>0.25</v>
      </c>
      <c r="C8" s="77">
        <f>B8/1000</f>
        <v/>
      </c>
      <c r="D8" s="78" t="n">
        <v>3</v>
      </c>
      <c r="E8" s="33" t="inlineStr">
        <is>
          <t>WIS 4-08-03</t>
        </is>
      </c>
      <c r="F8" s="33" t="inlineStr">
        <is>
          <t>Cast iron  distribution legacy mains</t>
        </is>
      </c>
    </row>
    <row r="9">
      <c r="A9" s="21" t="inlineStr">
        <is>
          <t>GI</t>
        </is>
      </c>
      <c r="B9" s="79" t="n">
        <v>0.15</v>
      </c>
      <c r="C9" s="80">
        <f>B9/1000</f>
        <v/>
      </c>
      <c r="D9" s="81" t="n">
        <v>3</v>
      </c>
      <c r="E9" s="26" t="inlineStr">
        <is>
          <t>BS 534</t>
        </is>
      </c>
      <c r="F9" s="26" t="inlineStr">
        <is>
          <t>Galvanised iron</t>
        </is>
      </c>
    </row>
    <row r="10">
      <c r="A10" s="29" t="inlineStr">
        <is>
          <t>Ductile_CI</t>
        </is>
      </c>
      <c r="B10" s="76" t="n">
        <v>0.05</v>
      </c>
      <c r="C10" s="77">
        <f>B10/1000</f>
        <v/>
      </c>
      <c r="D10" s="78" t="n">
        <v>10</v>
      </c>
      <c r="E10" s="33" t="inlineStr">
        <is>
          <t>EN 545</t>
        </is>
      </c>
      <c r="F10" s="33" t="inlineStr">
        <is>
          <t>Ductile cast iron  modern replacement</t>
        </is>
      </c>
    </row>
    <row r="12" ht="21.75" customHeight="1">
      <c r="A12" s="2" t="inlineStr">
        <is>
          <t>PE80 PIPE DIMENSIONS    OD × SDR → ID (mm)</t>
        </is>
      </c>
    </row>
    <row r="13" ht="30" customHeight="1">
      <c r="A13" s="82" t="inlineStr">
        <is>
          <t>OD (mm)</t>
        </is>
      </c>
      <c r="B13" s="82" t="inlineStr">
        <is>
          <t>SDR 11
ID (mm)</t>
        </is>
      </c>
      <c r="C13" s="82" t="inlineStr">
        <is>
          <t>SDR 13.6
ID (mm)</t>
        </is>
      </c>
      <c r="D13" s="82" t="inlineStr">
        <is>
          <t>SDR 17
ID (mm)</t>
        </is>
      </c>
      <c r="E13" s="82" t="inlineStr">
        <is>
          <t>SDR 21
ID (mm)</t>
        </is>
      </c>
      <c r="F13" s="82" t="inlineStr">
        <is>
          <t>SDR 26
ID (mm)</t>
        </is>
      </c>
    </row>
    <row r="14">
      <c r="A14" s="21" t="n">
        <v>25</v>
      </c>
      <c r="B14" s="83" t="n">
        <v>20.45</v>
      </c>
      <c r="C14" s="37" t="n">
        <v>21.32</v>
      </c>
      <c r="D14" s="83" t="n">
        <v>22.06</v>
      </c>
      <c r="E14" s="37" t="n">
        <v>22.62</v>
      </c>
      <c r="F14" s="37" t="n">
        <v>23.08</v>
      </c>
    </row>
    <row r="15">
      <c r="A15" s="29" t="n">
        <v>32</v>
      </c>
      <c r="B15" s="83" t="n">
        <v>26.18</v>
      </c>
      <c r="C15" s="34" t="n">
        <v>27.29</v>
      </c>
      <c r="D15" s="83" t="n">
        <v>28.24</v>
      </c>
      <c r="E15" s="34" t="n">
        <v>28.95</v>
      </c>
      <c r="F15" s="34" t="n">
        <v>29.54</v>
      </c>
    </row>
    <row r="16">
      <c r="A16" s="21" t="n">
        <v>40</v>
      </c>
      <c r="B16" s="83" t="n">
        <v>32.73</v>
      </c>
      <c r="C16" s="37" t="n">
        <v>34.12</v>
      </c>
      <c r="D16" s="83" t="n">
        <v>35.29</v>
      </c>
      <c r="E16" s="37" t="n">
        <v>36.19</v>
      </c>
      <c r="F16" s="37" t="n">
        <v>36.92</v>
      </c>
    </row>
    <row r="17">
      <c r="A17" s="29" t="n">
        <v>50</v>
      </c>
      <c r="B17" s="83" t="n">
        <v>40.91</v>
      </c>
      <c r="C17" s="34" t="n">
        <v>42.65</v>
      </c>
      <c r="D17" s="83" t="n">
        <v>44.12</v>
      </c>
      <c r="E17" s="34" t="n">
        <v>45.24</v>
      </c>
      <c r="F17" s="34" t="n">
        <v>46.15</v>
      </c>
    </row>
    <row r="18">
      <c r="A18" s="21" t="n">
        <v>63</v>
      </c>
      <c r="B18" s="83" t="n">
        <v>51.55</v>
      </c>
      <c r="C18" s="37" t="n">
        <v>53.74</v>
      </c>
      <c r="D18" s="83" t="n">
        <v>55.59</v>
      </c>
      <c r="E18" s="37" t="n">
        <v>57</v>
      </c>
      <c r="F18" s="37" t="n">
        <v>58.15</v>
      </c>
    </row>
    <row r="19">
      <c r="A19" s="29" t="n">
        <v>90</v>
      </c>
      <c r="B19" s="83" t="n">
        <v>73.64</v>
      </c>
      <c r="C19" s="34" t="n">
        <v>76.76000000000001</v>
      </c>
      <c r="D19" s="83" t="n">
        <v>79.41</v>
      </c>
      <c r="E19" s="34" t="n">
        <v>81.43000000000001</v>
      </c>
      <c r="F19" s="34" t="n">
        <v>83.08</v>
      </c>
    </row>
    <row r="20">
      <c r="A20" s="21" t="n">
        <v>110</v>
      </c>
      <c r="B20" s="83" t="n">
        <v>90</v>
      </c>
      <c r="C20" s="37" t="n">
        <v>93.81999999999999</v>
      </c>
      <c r="D20" s="83" t="n">
        <v>97.06</v>
      </c>
      <c r="E20" s="37" t="n">
        <v>99.52</v>
      </c>
      <c r="F20" s="37" t="n">
        <v>101.54</v>
      </c>
    </row>
    <row r="21">
      <c r="A21" s="29" t="n">
        <v>125</v>
      </c>
      <c r="B21" s="83" t="n">
        <v>102.27</v>
      </c>
      <c r="C21" s="34" t="n">
        <v>106.62</v>
      </c>
      <c r="D21" s="83" t="n">
        <v>110.29</v>
      </c>
      <c r="E21" s="34" t="n">
        <v>113.1</v>
      </c>
      <c r="F21" s="34" t="n">
        <v>115.38</v>
      </c>
    </row>
    <row r="22">
      <c r="A22" s="21" t="n">
        <v>160</v>
      </c>
      <c r="B22" s="83" t="n">
        <v>130.91</v>
      </c>
      <c r="C22" s="37" t="n">
        <v>136.47</v>
      </c>
      <c r="D22" s="83" t="n">
        <v>141.18</v>
      </c>
      <c r="E22" s="37" t="n">
        <v>144.76</v>
      </c>
      <c r="F22" s="37" t="n">
        <v>147.69</v>
      </c>
    </row>
    <row r="23">
      <c r="A23" s="29" t="n">
        <v>200</v>
      </c>
      <c r="B23" s="83" t="n">
        <v>163.64</v>
      </c>
      <c r="C23" s="34" t="n">
        <v>170.59</v>
      </c>
      <c r="D23" s="83" t="n">
        <v>176.47</v>
      </c>
      <c r="E23" s="34" t="n">
        <v>180.95</v>
      </c>
      <c r="F23" s="34" t="n">
        <v>184.62</v>
      </c>
    </row>
    <row r="24">
      <c r="A24" s="21" t="n">
        <v>250</v>
      </c>
      <c r="B24" s="83" t="n">
        <v>204.55</v>
      </c>
      <c r="C24" s="37" t="n">
        <v>213.24</v>
      </c>
      <c r="D24" s="83" t="n">
        <v>220.59</v>
      </c>
      <c r="E24" s="37" t="n">
        <v>226.19</v>
      </c>
      <c r="F24" s="37" t="n">
        <v>230.77</v>
      </c>
    </row>
    <row r="25">
      <c r="A25" s="29" t="n">
        <v>315</v>
      </c>
      <c r="B25" s="83" t="n">
        <v>257.73</v>
      </c>
      <c r="C25" s="34" t="n">
        <v>268.68</v>
      </c>
      <c r="D25" s="83" t="n">
        <v>277.94</v>
      </c>
      <c r="E25" s="34" t="n">
        <v>285</v>
      </c>
      <c r="F25" s="34" t="n">
        <v>290.77</v>
      </c>
    </row>
  </sheetData>
  <mergeCells count="2">
    <mergeCell ref="A1:F1"/>
    <mergeCell ref="A12:F1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G22"/>
  <sheetViews>
    <sheetView zoomScaleNormal="100" workbookViewId="0">
      <selection activeCell="C21" sqref="C21"/>
    </sheetView>
  </sheetViews>
  <sheetFormatPr baseColWidth="8" defaultColWidth="8.7109375" defaultRowHeight="15"/>
  <cols>
    <col width="8" customWidth="1" min="1" max="1"/>
    <col width="46.5703125" customWidth="1" min="2" max="2"/>
    <col width="52" customWidth="1" min="3" max="3"/>
    <col width="16" customWidth="1" min="4" max="4"/>
    <col width="48" customWidth="1" min="5" max="5"/>
    <col width="52" customWidth="1" min="6" max="6"/>
  </cols>
  <sheetData>
    <row r="1" ht="24" customHeight="1">
      <c r="A1" s="97" t="inlineStr">
        <is>
          <t>NETWORK VALIDATION CHECKS   |   Run before executing solver   |   All checks must show ✓ PASS</t>
        </is>
      </c>
    </row>
    <row r="2" ht="30" customHeight="1">
      <c r="A2" s="84" t="inlineStr">
        <is>
          <t>Check_ID</t>
        </is>
      </c>
      <c r="B2" s="84" t="inlineStr">
        <is>
          <t>Description</t>
        </is>
      </c>
      <c r="C2" s="84" t="inlineStr">
        <is>
          <t>Formula / Logic</t>
        </is>
      </c>
      <c r="D2" s="84" t="inlineStr">
        <is>
          <t>Result</t>
        </is>
      </c>
      <c r="E2" s="84" t="inlineStr">
        <is>
          <t>Status</t>
        </is>
      </c>
      <c r="F2" s="84" t="inlineStr">
        <is>
          <t>Action if Fail</t>
        </is>
      </c>
    </row>
    <row r="3" ht="21.75" customHeight="1">
      <c r="A3" s="85" t="inlineStr">
        <is>
          <t>V01</t>
        </is>
      </c>
      <c r="B3" s="86" t="inlineStr">
        <is>
          <t>All pipe From_Nodes exist in NODES sheet</t>
        </is>
      </c>
      <c r="C3" s="87">
        <f>COUNTIF(NODES!A:A,PIPES!B3)-1</f>
        <v/>
      </c>
      <c r="D3" s="88">
        <f>COUNTIF(NODES!A:A,PIPES!B3)-1</f>
        <v/>
      </c>
      <c r="E3" s="89">
        <f>IF(D3=0,"✓ PASS","✗ FAIL — "&amp;D3&amp;" From_Node(s) not found in NODES")</f>
        <v/>
      </c>
      <c r="F3" s="90" t="inlineStr">
        <is>
          <t>Check PIPES column B  each From_Node must exactly match a Node_ID in NODES</t>
        </is>
      </c>
    </row>
    <row r="4" ht="21.75" customHeight="1">
      <c r="A4" s="85" t="inlineStr">
        <is>
          <t>V02</t>
        </is>
      </c>
      <c r="B4" s="91" t="inlineStr">
        <is>
          <t>All pipe To_Nodes exist in NODES sheet</t>
        </is>
      </c>
      <c r="C4" s="87">
        <f>SUMPRODUCT((COUNTIF(NODES!$A$3:$A$500,PIPES!$C$3:$C$499)&gt;0)*1)</f>
        <v/>
      </c>
      <c r="D4" s="92">
        <f>SUMPRODUCT((COUNTIF(NODES!$A$3:$A$500,PIPES!$C$3:$C$499)&gt;0)*1)</f>
        <v/>
      </c>
      <c r="E4" s="89">
        <f>IF(D5=0,"✓ PASS","✗ FAIL — "&amp;D5&amp;" duplicate Node_ID(s) found")</f>
        <v/>
      </c>
      <c r="F4" s="93" t="inlineStr">
        <is>
          <t>Check PIPES column C  each To_Node must exactly match a Node_ID in NODES</t>
        </is>
      </c>
    </row>
    <row r="5" ht="21.75" customHeight="1">
      <c r="A5" s="85" t="inlineStr">
        <is>
          <t>V03</t>
        </is>
      </c>
      <c r="B5" s="86" t="inlineStr">
        <is>
          <t>No duplicate Node_IDs</t>
        </is>
      </c>
      <c r="C5" s="87">
        <f>SUMPRODUCT((COUNTIF(NODES!$A$3:$A$500,NODES!$A$3:$A$500)&gt;1)*1)</f>
        <v/>
      </c>
      <c r="D5" s="88">
        <f>SUMPRODUCT((COUNTIF(NODES!$A$3:$A$500,NODES!$A$3:$A$500)&gt;1)*1)</f>
        <v/>
      </c>
      <c r="E5" s="89">
        <f>IF(D5=0,"✓ PASS","✗ FAIL")</f>
        <v/>
      </c>
      <c r="F5" s="90" t="inlineStr">
        <is>
          <t>Duplicate Node_IDs found  each node must have a unique ID</t>
        </is>
      </c>
    </row>
    <row r="6" ht="21.75" customHeight="1">
      <c r="A6" s="85" t="inlineStr">
        <is>
          <t>V04</t>
        </is>
      </c>
      <c r="B6" s="91" t="inlineStr">
        <is>
          <t>No duplicate Pipe_IDs</t>
        </is>
      </c>
      <c r="C6" s="87">
        <f>SUMPRODUCT((COUNTIF(PIPES!$A$3:$A$499,PIPES!$A$3:$A$499)&gt;1)*1)</f>
        <v/>
      </c>
      <c r="D6" s="92">
        <f>SUMPRODUCT((COUNTIF(PIPES!$A$3:$A$499,PIPES!$A$3:$A$499)&gt;1)*1)</f>
        <v/>
      </c>
      <c r="E6" s="89">
        <f>IF(D6=0,"✓ PASS","✗ FAIL")</f>
        <v/>
      </c>
      <c r="F6" s="93" t="inlineStr">
        <is>
          <t>Duplicate Pipe_IDs found  each pipe must have a unique ID</t>
        </is>
      </c>
    </row>
    <row r="7" ht="21.75" customHeight="1">
      <c r="A7" s="85" t="inlineStr">
        <is>
          <t>V05</t>
        </is>
      </c>
      <c r="B7" s="86" t="inlineStr">
        <is>
          <t>Source nodes have Known_P filled</t>
        </is>
      </c>
      <c r="C7" s="87">
        <f>COUNTIFS(NODES!$B$3:$B$500,"source",NODES!$F$3:$F$500,"")</f>
        <v/>
      </c>
      <c r="D7" s="88">
        <f>COUNTIFS(NODES!$B$3:$B$500,"source",NODES!$F$3:$F$500,"")</f>
        <v/>
      </c>
      <c r="E7" s="89">
        <f>IF(D7=0,"✓ PASS","✗ FAIL")</f>
        <v/>
      </c>
      <c r="F7" s="90" t="inlineStr">
        <is>
          <t>Source node(s) missing Known_P  fill F column for all source nodes</t>
        </is>
      </c>
    </row>
    <row r="8" ht="21.75" customHeight="1">
      <c r="A8" s="85" t="inlineStr">
        <is>
          <t>V06</t>
        </is>
      </c>
      <c r="B8" s="91" t="inlineStr">
        <is>
          <t>Source nodes have no Demand value</t>
        </is>
      </c>
      <c r="C8" s="87">
        <f>COUNTIFS(NODES!$B$3:$B$500,"source",NODES!$G$3:$G$500,"&gt;"&amp;0)</f>
        <v/>
      </c>
      <c r="D8" s="92">
        <f>COUNTIFS(NODES!$B$3:$B$500,"source",NODES!$G$3:$G$500,"&gt;"&amp;0)</f>
        <v/>
      </c>
      <c r="E8" s="89">
        <f>IF(D8=0,"✓ PASS","✗ FAIL")</f>
        <v/>
      </c>
      <c r="F8" s="93" t="inlineStr">
        <is>
          <t>Source node(s) have demand &gt; 0  sources supply gas, they do not consume it</t>
        </is>
      </c>
    </row>
    <row r="9" ht="21.75" customHeight="1">
      <c r="A9" s="85" t="inlineStr">
        <is>
          <t>V07</t>
        </is>
      </c>
      <c r="B9" s="86" t="inlineStr">
        <is>
          <t>Offtake nodes have Demand filled</t>
        </is>
      </c>
      <c r="C9" s="87">
        <f>COUNTIFS(NODES!$B$3:$B$500,"offtake",NODES!$G$3:$G$500,"")</f>
        <v/>
      </c>
      <c r="D9" s="88">
        <f>COUNTIFS(NODES!$B$3:$B$500,"offtake",NODES!$G$3:$G$500,"")</f>
        <v/>
      </c>
      <c r="E9" s="89">
        <f>IF(D9=0,"✓ PASS","✗ FAIL")</f>
        <v/>
      </c>
      <c r="F9" s="90" t="inlineStr">
        <is>
          <t>Offtake node(s) missing Demand_Sm3h  fill G column for all offtakes</t>
        </is>
      </c>
    </row>
    <row r="10" ht="21.75" customHeight="1">
      <c r="A10" s="85" t="inlineStr">
        <is>
          <t>V08</t>
        </is>
      </c>
      <c r="B10" s="91" t="inlineStr">
        <is>
          <t>Offtake nodes have no Known_P</t>
        </is>
      </c>
      <c r="C10" s="87">
        <f>COUNTIFS(NODES!$B$3:$B$500,"offtake",NODES!$F$3:$F$500,"&gt;"&amp;0)</f>
        <v/>
      </c>
      <c r="D10" s="92">
        <f>COUNTIFS(NODES!$B$3:$B$500,"offtake",NODES!$F$3:$F$500,"&gt;"&amp;0)</f>
        <v/>
      </c>
      <c r="E10" s="89">
        <f>IF(D10=0,"✓ PASS","✗ FAIL")</f>
        <v/>
      </c>
      <c r="F10" s="93" t="inlineStr">
        <is>
          <t>Offtake node(s) have Known_P filled  pressure is unknown for offtakes</t>
        </is>
      </c>
    </row>
    <row r="11" ht="21.75" customHeight="1">
      <c r="A11" s="85" t="inlineStr">
        <is>
          <t>V09</t>
        </is>
      </c>
      <c r="B11" s="86" t="inlineStr">
        <is>
          <t>All diversity factors are between 0 and 1</t>
        </is>
      </c>
      <c r="C11" s="87">
        <f>SUMPRODUCT((NODES!$I$3:$I$500&gt;1)*1)+SUMPRODUCT((NODES!$I$3:$I$500&lt;0)*(NODES!$I$3:$I$500&lt;&gt;""))</f>
        <v/>
      </c>
      <c r="D11" s="88">
        <f>SUMPRODUCT((NODES!$I$3:$I$500&gt;1)*1)+SUMPRODUCT((NODES!$I$3:$I$500&lt;0)*(NODES!$I$3:$I$500&lt;&gt;""))</f>
        <v/>
      </c>
      <c r="E11" s="89">
        <f>IF(D11=0,"✓ PASS","✗ FAIL")</f>
        <v/>
      </c>
      <c r="F11" s="90" t="inlineStr">
        <is>
          <t>Diversity factor out of range  must be 0.0 to 1.0</t>
        </is>
      </c>
    </row>
    <row r="12" ht="21.75" customHeight="1">
      <c r="A12" s="85" t="inlineStr">
        <is>
          <t>V10</t>
        </is>
      </c>
      <c r="B12" s="91" t="inlineStr">
        <is>
          <t>All pipe lengths are positive</t>
        </is>
      </c>
      <c r="C12" s="87">
        <f>COUNTIF(PIPES!$D$3:$D$499,"&lt;="&amp;0)</f>
        <v/>
      </c>
      <c r="D12" s="92">
        <f>COUNTIF(PIPES!$D$3:$D$499,"&lt;="&amp;0)</f>
        <v/>
      </c>
      <c r="E12" s="89">
        <f>IF(D12=0,"✓ PASS","✗ FAIL")</f>
        <v/>
      </c>
      <c r="F12" s="93" t="inlineStr">
        <is>
          <t>Pipe(s) with zero or negative length  check PIPES column D</t>
        </is>
      </c>
    </row>
    <row r="13" ht="21.75" customHeight="1">
      <c r="A13" s="85" t="inlineStr">
        <is>
          <t>V11</t>
        </is>
      </c>
      <c r="B13" s="86" t="inlineStr">
        <is>
          <t>All pipe diameters are positive</t>
        </is>
      </c>
      <c r="C13" s="87">
        <f>COUNTIF(PIPES!$E$3:$E$499,"&lt;="&amp;0)</f>
        <v/>
      </c>
      <c r="D13" s="88">
        <f>COUNTIF(PIPES!$E$3:$E$499,"&lt;="&amp;0)</f>
        <v/>
      </c>
      <c r="E13" s="89">
        <f>IF(D13=0,"✓ PASS","✗ FAIL")</f>
        <v/>
      </c>
      <c r="F13" s="90" t="inlineStr">
        <is>
          <t>Pipe(s) with zero or negative OD  check PIPES column E</t>
        </is>
      </c>
    </row>
    <row r="14" ht="21.75" customHeight="1">
      <c r="A14" s="85" t="inlineStr">
        <is>
          <t>V12</t>
        </is>
      </c>
      <c r="B14" s="91" t="inlineStr">
        <is>
          <t>SDR values are valid (11–26 range)</t>
        </is>
      </c>
      <c r="C14" s="87">
        <f>SUMPRODUCT((PIPES!$F$3:$F$499&lt;11)*(PIPES!$F$3:$F$499&lt;&gt;"")*1)+SUMPRODUCT((PIPES!$F$3:$F$499&gt;26)*(PIPES!$F$3:$F$499&lt;&gt;"")*1)</f>
        <v/>
      </c>
      <c r="D14" s="92">
        <f>SUMPRODUCT((PIPES!$F$3:$F$499&lt;11)*(PIPES!$F$3:$F$499&lt;&gt;"")*1)+SUMPRODUCT((PIPES!$F$3:$F$499&gt;26)*(PIPES!$F$3:$F$499&lt;&gt;"")*1)</f>
        <v/>
      </c>
      <c r="E14" s="89">
        <f>IF(D14=0,"✓ PASS","✗ FAIL")</f>
        <v/>
      </c>
      <c r="F14" s="93" t="inlineStr">
        <is>
          <t>Invalid SDR value  PE80 standard SDRs: 11, 13.6, 17, 21, 26</t>
        </is>
      </c>
    </row>
    <row r="15" ht="21.75" customHeight="1">
      <c r="A15" s="85" t="inlineStr">
        <is>
          <t>V13</t>
        </is>
      </c>
      <c r="B15" s="86" t="inlineStr">
        <is>
          <t>No roughness errors in PIPES (VLOOKUP working)</t>
        </is>
      </c>
      <c r="C15" s="87">
        <f>COUNTIF(PIPES!$I$3:$I$499,"*Check material*")</f>
        <v/>
      </c>
      <c r="D15" s="88">
        <f>COUNTIF(PIPES!$I$3:$I$499,"*Check material*")</f>
        <v/>
      </c>
      <c r="E15" s="89">
        <f>IF(D15=0,"✓ PASS","✗ FAIL")</f>
        <v/>
      </c>
      <c r="F15" s="90" t="inlineStr">
        <is>
          <t>Material not found in MATERIALS table  check spelling in PIPES column H</t>
        </is>
      </c>
    </row>
    <row r="16" ht="21.75" customHeight="1">
      <c r="A16" s="85" t="inlineStr">
        <is>
          <t>V14</t>
        </is>
      </c>
      <c r="B16" s="91" t="inlineStr">
        <is>
          <t>At least one source node exists</t>
        </is>
      </c>
      <c r="C16" s="87">
        <f>COUNTIF(NODES!$B$3:$B$500,"source")</f>
        <v/>
      </c>
      <c r="D16" s="92">
        <f>COUNTIF(NODES!$B$3:$B$500,"source")</f>
        <v/>
      </c>
      <c r="E16" s="89">
        <f>IF(D16&gt;=1,"✓ PASS","✗ FAIL")</f>
        <v/>
      </c>
      <c r="F16" s="93" t="inlineStr">
        <is>
          <t>No source node defined  add at least one PRS or PRV as a source node</t>
        </is>
      </c>
    </row>
    <row r="17" ht="21.75" customHeight="1">
      <c r="A17" s="85" t="inlineStr">
        <is>
          <t>V15</t>
        </is>
      </c>
      <c r="B17" s="86" t="inlineStr">
        <is>
          <t>At least one offtake node exists</t>
        </is>
      </c>
      <c r="C17" s="87">
        <f>COUNTIF(NODES!$B$3:$B$500,"offtake")</f>
        <v/>
      </c>
      <c r="D17" s="88">
        <f>COUNTIF(NODES!$B$3:$B$500,"offtake")</f>
        <v/>
      </c>
      <c r="E17" s="89">
        <f>IF(D17&gt;=1,"✓ PASS","✗ FAIL")</f>
        <v/>
      </c>
      <c r="F17" s="90" t="inlineStr">
        <is>
          <t>No offtake node defined  add customer meter stations as offtake nodes</t>
        </is>
      </c>
    </row>
    <row r="18" ht="21.75" customHeight="1">
      <c r="A18" s="85" t="inlineStr">
        <is>
          <t>V16</t>
        </is>
      </c>
      <c r="B18" s="91" t="inlineStr">
        <is>
          <t>Total number of nodes</t>
        </is>
      </c>
      <c r="C18" s="87">
        <f>COUNTA(NODES!$A$3:$A$500)</f>
        <v/>
      </c>
      <c r="D18" s="92">
        <f>COUNTA(NODES!$A$3:$A$500)</f>
        <v/>
      </c>
      <c r="E18" s="89">
        <f>D18&amp;" nodes"</f>
        <v/>
      </c>
      <c r="F18" s="93" t="inlineStr">
        <is>
          <t>Information only  verify matches your network sketch</t>
        </is>
      </c>
    </row>
    <row r="19" ht="21.75" customHeight="1">
      <c r="A19" s="85" t="inlineStr">
        <is>
          <t>V17</t>
        </is>
      </c>
      <c r="B19" s="86" t="inlineStr">
        <is>
          <t>Total number of pipes (open only)</t>
        </is>
      </c>
      <c r="C19" s="87">
        <f>COUNTIF(PIPES!$K$3:$K$499,"open")</f>
        <v/>
      </c>
      <c r="D19" s="88">
        <f>COUNTIF(PIPES!$K$3:$K$499,"open")</f>
        <v/>
      </c>
      <c r="E19" s="89">
        <f>D19&amp;" open pipes"</f>
        <v/>
      </c>
      <c r="F19" s="90" t="inlineStr">
        <is>
          <t>Information only  closed/throttled pipes excluded from solver</t>
        </is>
      </c>
    </row>
    <row r="20" ht="21.75" customHeight="1">
      <c r="A20" s="85" t="inlineStr">
        <is>
          <t>V18</t>
        </is>
      </c>
      <c r="B20" s="91" t="inlineStr">
        <is>
          <t>Total effective demand (Sm³/h)</t>
        </is>
      </c>
      <c r="C20" s="87">
        <f>SUMIF(NODES!$B$3:$B$500,"offtake",NODES!$J$3:$J$500)</f>
        <v/>
      </c>
      <c r="D20" s="92">
        <f>SUMIF(NODES!$B$3:$B$500,"offtake",NODES!$J$3:$J$500)</f>
        <v/>
      </c>
      <c r="E20" s="89">
        <f>TEXT(D20,"#,##0.0")&amp;" Sm³/h"</f>
        <v/>
      </c>
      <c r="F20" s="93" t="inlineStr">
        <is>
          <t>Verify this is plausible for your network size and customer mix</t>
        </is>
      </c>
    </row>
    <row r="21" ht="21.75" customHeight="1">
      <c r="A21" s="85" t="inlineStr">
        <is>
          <t>V19</t>
        </is>
      </c>
      <c r="B21" s="86" t="inlineStr">
        <is>
          <t>Pipe-to-node ratio (should be ≥ 1 for looped network)</t>
        </is>
      </c>
      <c r="C21" s="87">
        <f>IFERROR(COUNTIF(PIPES!$K$3:$K$499,"open")/COUNTA(NODES!$A$3:$A$500),0)</f>
        <v/>
      </c>
      <c r="D21" s="88">
        <f>IFERROR(COUNTIF(PIPES!$K$3:$K$499,"open")/COUNTA(NODES!$A$3:$A$500),0)</f>
        <v/>
      </c>
      <c r="E21" s="89">
        <f>IF(D21&gt;=1,"✓ Looped","⚠ Radial only")</f>
        <v/>
      </c>
      <c r="F21" s="90" t="inlineStr">
        <is>
          <t>Ratio &lt; 1 means purely radial network  no redundancy. Add loop pipes if required.</t>
        </is>
      </c>
    </row>
    <row r="22" ht="27.75" customHeight="1">
      <c r="A22" s="85" t="inlineStr">
        <is>
          <t>V20</t>
        </is>
      </c>
      <c r="B22" s="91" t="inlineStr">
        <is>
          <t>Overall PASS / FAIL</t>
        </is>
      </c>
      <c r="C22" s="87">
        <f>COUNTIF(E3:E19,"*FAIL*")</f>
        <v/>
      </c>
      <c r="D22" s="92">
        <f>COUNTIF(E3:E19,"*FAIL*")</f>
        <v/>
      </c>
      <c r="E22" s="89">
        <f>IF(D22=0,"✅ ALL CHECKS PASSED SAFE TO RUN SOLVER","❌ "&amp;D22&amp;" CHECK(S) FAILED  FIX BEFORE RUNNING SOLVER")</f>
        <v/>
      </c>
      <c r="F22" s="93" t="inlineStr">
        <is>
          <t>Fix all FAIL checks before passing data to the Python solver</t>
        </is>
      </c>
    </row>
  </sheetData>
  <mergeCells count="1">
    <mergeCell ref="A1:G1"/>
  </mergeCells>
  <conditionalFormatting sqref="E3:E25">
    <cfRule type="expression" priority="2" dxfId="3">
      <formula>ISNUMBER(SEARCH("PASS",E3))</formula>
    </cfRule>
    <cfRule type="expression" priority="3" dxfId="2">
      <formula>ISNUMBER(SEARCH("FAIL",E3))</formula>
    </cfRule>
  </conditionalFormatting>
  <conditionalFormatting sqref="E22">
    <cfRule type="expression" priority="4" dxfId="1">
      <formula>ISNUMBER(SEARCH("PASSED",E22))</formula>
    </cfRule>
    <cfRule type="expression" priority="5" dxfId="0">
      <formula>ISNUMBER(SEARCH("FAILED",E22))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4" customWidth="1" min="12" max="12"/>
  </cols>
  <sheetData>
    <row r="1" ht="24" customHeight="1">
      <c r="A1" s="103" t="inlineStr">
        <is>
          <t>PE80 GAS NETWORK — SOLVER RESULTS   |   CONVERGED   |   18 iterations   |   max|F| = 6.562e-07 Sm³/s</t>
        </is>
      </c>
    </row>
    <row r="3" ht="20" customHeight="1">
      <c r="A3" s="104" t="inlineStr">
        <is>
          <t>NODE RESULTS</t>
        </is>
      </c>
    </row>
    <row r="4" ht="32" customHeight="1">
      <c r="A4" s="105" t="inlineStr">
        <is>
          <t>Node_ID</t>
        </is>
      </c>
      <c r="B4" s="105" t="inlineStr">
        <is>
          <t>Label</t>
        </is>
      </c>
      <c r="C4" s="105" t="inlineStr">
        <is>
          <t>Type</t>
        </is>
      </c>
      <c r="D4" s="105" t="inlineStr">
        <is>
          <t>Solved_P
[kPa(g)]</t>
        </is>
      </c>
      <c r="E4" s="105" t="inlineStr">
        <is>
          <t>Min_P
[kPa(g)]</t>
        </is>
      </c>
      <c r="F4" s="105" t="inlineStr">
        <is>
          <t>Margin
[kPa]</t>
        </is>
      </c>
      <c r="G4" s="105" t="inlineStr">
        <is>
          <t>Status</t>
        </is>
      </c>
    </row>
    <row r="5" ht="18" customHeight="1">
      <c r="A5" s="106" t="inlineStr">
        <is>
          <t>N001</t>
        </is>
      </c>
      <c r="B5" s="107" t="inlineStr">
        <is>
          <t>PRS1</t>
        </is>
      </c>
      <c r="C5" s="108" t="inlineStr">
        <is>
          <t>source</t>
        </is>
      </c>
      <c r="D5" s="109" t="n">
        <v>400</v>
      </c>
      <c r="E5" s="109" t="n">
        <v>0</v>
      </c>
      <c r="F5" s="109" t="n">
        <v>400</v>
      </c>
      <c r="G5" s="110" t="inlineStr">
        <is>
          <t>SOURCE (fixed P)</t>
        </is>
      </c>
    </row>
    <row r="6" ht="18" customHeight="1">
      <c r="A6" s="111" t="inlineStr">
        <is>
          <t>N002</t>
        </is>
      </c>
      <c r="B6" s="112" t="inlineStr">
        <is>
          <t>TEE1</t>
        </is>
      </c>
      <c r="C6" s="113" t="inlineStr">
        <is>
          <t>junction</t>
        </is>
      </c>
      <c r="D6" s="114" t="n">
        <v>399.06</v>
      </c>
      <c r="E6" s="114" t="n">
        <v>0</v>
      </c>
      <c r="F6" s="114" t="n">
        <v>399.06</v>
      </c>
      <c r="G6" s="116" t="inlineStr">
        <is>
          <t>[OK] (399.1 kPa margin)</t>
        </is>
      </c>
    </row>
    <row r="7" ht="18" customHeight="1">
      <c r="A7" s="106" t="inlineStr">
        <is>
          <t>N003</t>
        </is>
      </c>
      <c r="B7" s="107" t="inlineStr">
        <is>
          <t>TEE2</t>
        </is>
      </c>
      <c r="C7" s="108" t="inlineStr">
        <is>
          <t>junction</t>
        </is>
      </c>
      <c r="D7" s="109" t="n">
        <v>398.52</v>
      </c>
      <c r="E7" s="109" t="n">
        <v>0</v>
      </c>
      <c r="F7" s="109" t="n">
        <v>398.52</v>
      </c>
      <c r="G7" s="110" t="inlineStr">
        <is>
          <t>[OK] (398.5 kPa margin)</t>
        </is>
      </c>
    </row>
    <row r="8" ht="18" customHeight="1">
      <c r="A8" s="111" t="inlineStr">
        <is>
          <t>N004</t>
        </is>
      </c>
      <c r="B8" s="112" t="inlineStr">
        <is>
          <t>TEE3</t>
        </is>
      </c>
      <c r="C8" s="113" t="inlineStr">
        <is>
          <t>junction</t>
        </is>
      </c>
      <c r="D8" s="114" t="n">
        <v>399.07</v>
      </c>
      <c r="E8" s="114" t="n">
        <v>0</v>
      </c>
      <c r="F8" s="114" t="n">
        <v>399.07</v>
      </c>
      <c r="G8" s="116" t="inlineStr">
        <is>
          <t>[OK] (399.1 kPa margin)</t>
        </is>
      </c>
    </row>
    <row r="9" ht="18" customHeight="1">
      <c r="A9" s="106" t="inlineStr">
        <is>
          <t>N005</t>
        </is>
      </c>
      <c r="B9" s="107" t="inlineStr">
        <is>
          <t>Client1</t>
        </is>
      </c>
      <c r="C9" s="108" t="inlineStr">
        <is>
          <t>offtake</t>
        </is>
      </c>
      <c r="D9" s="109" t="n">
        <v>397.6</v>
      </c>
      <c r="E9" s="109" t="n">
        <v>390</v>
      </c>
      <c r="F9" s="109" t="n">
        <v>7.6</v>
      </c>
      <c r="G9" s="110" t="inlineStr">
        <is>
          <t>[!] LOW MARGIN (7.6 kPa)</t>
        </is>
      </c>
    </row>
    <row r="10" ht="18" customHeight="1">
      <c r="A10" s="111" t="inlineStr">
        <is>
          <t>N006</t>
        </is>
      </c>
      <c r="B10" s="112" t="inlineStr">
        <is>
          <t>Client2</t>
        </is>
      </c>
      <c r="C10" s="113" t="inlineStr">
        <is>
          <t>offtake</t>
        </is>
      </c>
      <c r="D10" s="114" t="n">
        <v>398.12</v>
      </c>
      <c r="E10" s="114" t="n">
        <v>390</v>
      </c>
      <c r="F10" s="114" t="n">
        <v>8.119999999999999</v>
      </c>
      <c r="G10" s="116" t="inlineStr">
        <is>
          <t>[!] LOW MARGIN (8.1 kPa)</t>
        </is>
      </c>
    </row>
    <row r="11" ht="18" customHeight="1">
      <c r="A11" s="106" t="inlineStr">
        <is>
          <t>N007</t>
        </is>
      </c>
      <c r="B11" s="107" t="inlineStr">
        <is>
          <t>Client3</t>
        </is>
      </c>
      <c r="C11" s="108" t="inlineStr">
        <is>
          <t>offtake</t>
        </is>
      </c>
      <c r="D11" s="109" t="n">
        <v>397.23</v>
      </c>
      <c r="E11" s="109" t="n">
        <v>390</v>
      </c>
      <c r="F11" s="109" t="n">
        <v>7.23</v>
      </c>
      <c r="G11" s="110" t="inlineStr">
        <is>
          <t>[!] LOW MARGIN (7.2 kPa)</t>
        </is>
      </c>
    </row>
    <row r="12" ht="18" customHeight="1">
      <c r="A12" s="111" t="inlineStr">
        <is>
          <t>N008</t>
        </is>
      </c>
      <c r="B12" s="112" t="inlineStr">
        <is>
          <t>Client4</t>
        </is>
      </c>
      <c r="C12" s="113" t="inlineStr">
        <is>
          <t>offtake</t>
        </is>
      </c>
      <c r="D12" s="114" t="n">
        <v>327.34</v>
      </c>
      <c r="E12" s="114" t="n">
        <v>390</v>
      </c>
      <c r="F12" s="117" t="n">
        <v>-62.66</v>
      </c>
      <c r="G12" s="116" t="inlineStr">
        <is>
          <t>[FAIL] BELOW MIN by 62.7 kPa</t>
        </is>
      </c>
    </row>
    <row r="13" ht="18" customHeight="1">
      <c r="A13" s="106" t="inlineStr">
        <is>
          <t>N009</t>
        </is>
      </c>
      <c r="B13" s="107" t="inlineStr">
        <is>
          <t>PRS2</t>
        </is>
      </c>
      <c r="C13" s="108" t="inlineStr">
        <is>
          <t>source</t>
        </is>
      </c>
      <c r="D13" s="109" t="n">
        <v>400</v>
      </c>
      <c r="E13" s="109" t="n">
        <v>0</v>
      </c>
      <c r="F13" s="109" t="n">
        <v>400</v>
      </c>
      <c r="G13" s="110" t="inlineStr">
        <is>
          <t>SOURCE (fixed P)</t>
        </is>
      </c>
    </row>
    <row r="14" ht="18" customHeight="1">
      <c r="A14" s="111" t="inlineStr">
        <is>
          <t>N010</t>
        </is>
      </c>
      <c r="B14" s="112" t="inlineStr">
        <is>
          <t>Client5</t>
        </is>
      </c>
      <c r="C14" s="113" t="inlineStr">
        <is>
          <t>offtake</t>
        </is>
      </c>
      <c r="D14" s="114" t="n">
        <v>397.3</v>
      </c>
      <c r="E14" s="114" t="n">
        <v>390</v>
      </c>
      <c r="F14" s="114" t="n">
        <v>7.3</v>
      </c>
      <c r="G14" s="116" t="inlineStr">
        <is>
          <t>[!] LOW MARGIN (7.3 kPa)</t>
        </is>
      </c>
    </row>
    <row r="18" ht="20" customHeight="1">
      <c r="A18" s="119" t="inlineStr">
        <is>
          <t>PIPE RESULTS</t>
        </is>
      </c>
    </row>
    <row r="19" ht="32" customHeight="1">
      <c r="A19" s="120" t="inlineStr">
        <is>
          <t>Pipe_ID</t>
        </is>
      </c>
      <c r="B19" s="120" t="inlineStr">
        <is>
          <t>From</t>
        </is>
      </c>
      <c r="C19" s="120" t="inlineStr">
        <is>
          <t>To</t>
        </is>
      </c>
      <c r="D19" s="120" t="inlineStr">
        <is>
          <t>Q
[Sm³/h]</t>
        </is>
      </c>
      <c r="E19" s="120" t="inlineStr">
        <is>
          <t>Direction</t>
        </is>
      </c>
      <c r="F19" s="120" t="inlineStr">
        <is>
          <t>v
[m/s]</t>
        </is>
      </c>
      <c r="G19" s="120" t="inlineStr">
        <is>
          <t>Re
[-]</t>
        </is>
      </c>
      <c r="H19" s="120" t="inlineStr">
        <is>
          <t>f
[-]</t>
        </is>
      </c>
      <c r="I19" s="120" t="inlineStr">
        <is>
          <t>ΔP
[mbar]</t>
        </is>
      </c>
      <c r="J19" s="120" t="inlineStr">
        <is>
          <t>Grad
[mbar/m]</t>
        </is>
      </c>
      <c r="K19" s="120" t="inlineStr">
        <is>
          <t>Loading
[%]</t>
        </is>
      </c>
      <c r="L19" s="120" t="inlineStr">
        <is>
          <t>Status</t>
        </is>
      </c>
    </row>
    <row r="20" ht="18" customHeight="1">
      <c r="A20" s="121" t="inlineStr">
        <is>
          <t>P001</t>
        </is>
      </c>
      <c r="B20" s="107" t="inlineStr">
        <is>
          <t>N001</t>
        </is>
      </c>
      <c r="C20" s="107" t="inlineStr">
        <is>
          <t>N002</t>
        </is>
      </c>
      <c r="D20" s="109" t="n">
        <v>1601.084</v>
      </c>
      <c r="E20" s="108" t="inlineStr">
        <is>
          <t>-&gt;</t>
        </is>
      </c>
      <c r="F20" s="122" t="n">
        <v>2.7472</v>
      </c>
      <c r="G20" s="123" t="n">
        <v>190608</v>
      </c>
      <c r="H20" s="124" t="n">
        <v>0.01598</v>
      </c>
      <c r="I20" s="109" t="n">
        <v>9.356999999999999</v>
      </c>
      <c r="J20" s="125" t="n">
        <v>0.01101</v>
      </c>
      <c r="K20" s="126" t="n">
        <v>4.36</v>
      </c>
      <c r="L20" s="108" t="inlineStr">
        <is>
          <t>[OK]</t>
        </is>
      </c>
    </row>
    <row r="21" ht="18" customHeight="1">
      <c r="A21" s="127" t="inlineStr">
        <is>
          <t>P002</t>
        </is>
      </c>
      <c r="B21" s="112" t="inlineStr">
        <is>
          <t>N002</t>
        </is>
      </c>
      <c r="C21" s="112" t="inlineStr">
        <is>
          <t>N003</t>
        </is>
      </c>
      <c r="D21" s="114" t="n">
        <v>1750</v>
      </c>
      <c r="E21" s="113" t="inlineStr">
        <is>
          <t>-&gt;</t>
        </is>
      </c>
      <c r="F21" s="128" t="n">
        <v>3.0072</v>
      </c>
      <c r="G21" s="129" t="n">
        <v>208336</v>
      </c>
      <c r="H21" s="130" t="n">
        <v>0.015726</v>
      </c>
      <c r="I21" s="114" t="n">
        <v>5.444</v>
      </c>
      <c r="J21" s="131" t="n">
        <v>0.01296</v>
      </c>
      <c r="K21" s="126" t="n">
        <v>4.77</v>
      </c>
      <c r="L21" s="113" t="inlineStr">
        <is>
          <t>[OK]</t>
        </is>
      </c>
    </row>
    <row r="22" ht="18" customHeight="1">
      <c r="A22" s="121" t="inlineStr">
        <is>
          <t>P003</t>
        </is>
      </c>
      <c r="B22" s="107" t="inlineStr">
        <is>
          <t>N002</t>
        </is>
      </c>
      <c r="C22" s="107" t="inlineStr">
        <is>
          <t>N004</t>
        </is>
      </c>
      <c r="D22" s="109" t="n">
        <v>-148.917</v>
      </c>
      <c r="E22" s="108" t="inlineStr">
        <is>
          <t>&lt;-</t>
        </is>
      </c>
      <c r="F22" s="122" t="n">
        <v>0.2558</v>
      </c>
      <c r="G22" s="123" t="n">
        <v>17728</v>
      </c>
      <c r="H22" s="124" t="n">
        <v>0.026695</v>
      </c>
      <c r="I22" s="109" t="n">
        <v>-0.061</v>
      </c>
      <c r="J22" s="125" t="n">
        <v>0.00016</v>
      </c>
      <c r="K22" s="126" t="n">
        <v>0.41</v>
      </c>
      <c r="L22" s="108" t="inlineStr">
        <is>
          <t>[REV] REVERSED</t>
        </is>
      </c>
    </row>
    <row r="23" ht="18" customHeight="1">
      <c r="A23" s="127" t="inlineStr">
        <is>
          <t>P004</t>
        </is>
      </c>
      <c r="B23" s="112" t="inlineStr">
        <is>
          <t>N003</t>
        </is>
      </c>
      <c r="C23" s="112" t="inlineStr">
        <is>
          <t>N005</t>
        </is>
      </c>
      <c r="D23" s="114" t="n">
        <v>1000</v>
      </c>
      <c r="E23" s="113" t="inlineStr">
        <is>
          <t>-&gt;</t>
        </is>
      </c>
      <c r="F23" s="128" t="n">
        <v>3.3197</v>
      </c>
      <c r="G23" s="129" t="n">
        <v>165346</v>
      </c>
      <c r="H23" s="130" t="n">
        <v>0.016506</v>
      </c>
      <c r="I23" s="114" t="n">
        <v>9.196999999999999</v>
      </c>
      <c r="J23" s="131" t="n">
        <v>0.02299</v>
      </c>
      <c r="K23" s="126" t="n">
        <v>5.26</v>
      </c>
      <c r="L23" s="113" t="inlineStr">
        <is>
          <t>[OK]</t>
        </is>
      </c>
    </row>
    <row r="24" ht="18" customHeight="1">
      <c r="A24" s="121" t="inlineStr">
        <is>
          <t>P005</t>
        </is>
      </c>
      <c r="B24" s="107" t="inlineStr">
        <is>
          <t>N003</t>
        </is>
      </c>
      <c r="C24" s="107" t="inlineStr">
        <is>
          <t>N006</t>
        </is>
      </c>
      <c r="D24" s="109" t="n">
        <v>750</v>
      </c>
      <c r="E24" s="108" t="inlineStr">
        <is>
          <t>-&gt;</t>
        </is>
      </c>
      <c r="F24" s="122" t="n">
        <v>2.4884</v>
      </c>
      <c r="G24" s="123" t="n">
        <v>124010</v>
      </c>
      <c r="H24" s="124" t="n">
        <v>0.01741</v>
      </c>
      <c r="I24" s="109" t="n">
        <v>3.954</v>
      </c>
      <c r="J24" s="125" t="n">
        <v>0.01363</v>
      </c>
      <c r="K24" s="126" t="n">
        <v>3.94</v>
      </c>
      <c r="L24" s="108" t="inlineStr">
        <is>
          <t>[OK]</t>
        </is>
      </c>
    </row>
    <row r="25" ht="18" customHeight="1">
      <c r="A25" s="127" t="inlineStr">
        <is>
          <t>P006</t>
        </is>
      </c>
      <c r="B25" s="112" t="inlineStr">
        <is>
          <t>N004</t>
        </is>
      </c>
      <c r="C25" s="112" t="inlineStr">
        <is>
          <t>N007</t>
        </is>
      </c>
      <c r="D25" s="114" t="n">
        <v>500</v>
      </c>
      <c r="E25" s="113" t="inlineStr">
        <is>
          <t>-&gt;</t>
        </is>
      </c>
      <c r="F25" s="128" t="n">
        <v>4.4437</v>
      </c>
      <c r="G25" s="129" t="n">
        <v>135283</v>
      </c>
      <c r="H25" s="130" t="n">
        <v>0.017334</v>
      </c>
      <c r="I25" s="114" t="n">
        <v>18.41</v>
      </c>
      <c r="J25" s="131" t="n">
        <v>0.07081</v>
      </c>
      <c r="K25" s="126" t="n">
        <v>7.04</v>
      </c>
      <c r="L25" s="113" t="inlineStr">
        <is>
          <t>[OK]</t>
        </is>
      </c>
    </row>
    <row r="26" ht="18" customHeight="1">
      <c r="A26" s="121" t="inlineStr">
        <is>
          <t>P007</t>
        </is>
      </c>
      <c r="B26" s="107" t="inlineStr">
        <is>
          <t>N004</t>
        </is>
      </c>
      <c r="C26" s="107" t="inlineStr">
        <is>
          <t>N008</t>
        </is>
      </c>
      <c r="D26" s="109" t="n">
        <v>599.998</v>
      </c>
      <c r="E26" s="108" t="inlineStr">
        <is>
          <t>-&gt;</t>
        </is>
      </c>
      <c r="F26" s="122" t="n">
        <v>17.4795</v>
      </c>
      <c r="G26" s="123" t="n">
        <v>283450</v>
      </c>
      <c r="H26" s="124" t="n">
        <v>0.015882</v>
      </c>
      <c r="I26" s="109" t="n">
        <v>717.266</v>
      </c>
      <c r="J26" s="125" t="n">
        <v>1.63015</v>
      </c>
      <c r="K26" s="126" t="n">
        <v>26.69</v>
      </c>
      <c r="L26" s="108" t="inlineStr">
        <is>
          <t>[!] HIGH GRAD</t>
        </is>
      </c>
    </row>
    <row r="27" ht="18" customHeight="1">
      <c r="A27" s="127" t="inlineStr">
        <is>
          <t>P008</t>
        </is>
      </c>
      <c r="B27" s="112" t="inlineStr">
        <is>
          <t>N009</t>
        </is>
      </c>
      <c r="C27" s="112" t="inlineStr">
        <is>
          <t>N004</t>
        </is>
      </c>
      <c r="D27" s="114" t="n">
        <v>1458.916</v>
      </c>
      <c r="E27" s="113" t="inlineStr">
        <is>
          <t>-&gt;</t>
        </is>
      </c>
      <c r="F27" s="128" t="n">
        <v>2.5033</v>
      </c>
      <c r="G27" s="129" t="n">
        <v>173683</v>
      </c>
      <c r="H27" s="130" t="n">
        <v>0.016253</v>
      </c>
      <c r="I27" s="114" t="n">
        <v>9.297000000000001</v>
      </c>
      <c r="J27" s="131" t="n">
        <v>0.009299999999999999</v>
      </c>
      <c r="K27" s="126" t="n">
        <v>3.97</v>
      </c>
      <c r="L27" s="113" t="inlineStr">
        <is>
          <t>[OK]</t>
        </is>
      </c>
    </row>
    <row r="28" ht="18" customHeight="1">
      <c r="A28" s="121" t="inlineStr">
        <is>
          <t>P009</t>
        </is>
      </c>
      <c r="B28" s="107" t="inlineStr">
        <is>
          <t>N004</t>
        </is>
      </c>
      <c r="C28" s="107" t="inlineStr">
        <is>
          <t>N010</t>
        </is>
      </c>
      <c r="D28" s="109" t="n">
        <v>210</v>
      </c>
      <c r="E28" s="108" t="inlineStr">
        <is>
          <t>-&gt;</t>
        </is>
      </c>
      <c r="F28" s="122" t="n">
        <v>2.7878</v>
      </c>
      <c r="G28" s="123" t="n">
        <v>69445</v>
      </c>
      <c r="H28" s="124" t="n">
        <v>0.019766</v>
      </c>
      <c r="I28" s="109" t="n">
        <v>17.752</v>
      </c>
      <c r="J28" s="125" t="n">
        <v>0.03885</v>
      </c>
      <c r="K28" s="126" t="n">
        <v>4.42</v>
      </c>
      <c r="L28" s="108" t="inlineStr">
        <is>
          <t>[OK]</t>
        </is>
      </c>
    </row>
    <row r="31">
      <c r="A31" s="132" t="inlineStr">
        <is>
          <t>MASS BALANCE</t>
        </is>
      </c>
      <c r="E31" s="133" t="inlineStr">
        <is>
          <t>Total supply [Sm³/h]</t>
        </is>
      </c>
      <c r="F31" s="134" t="n">
        <v>3060</v>
      </c>
      <c r="G31" s="133" t="inlineStr">
        <is>
          <t>Total demand [Sm³/h]</t>
        </is>
      </c>
      <c r="H31" s="134" t="n">
        <v>3060</v>
      </c>
      <c r="I31" s="133" t="inlineStr">
        <is>
          <t>Balance [Sm³/h]</t>
        </is>
      </c>
      <c r="J31" s="134" t="n">
        <v>-0</v>
      </c>
    </row>
  </sheetData>
  <mergeCells count="4">
    <mergeCell ref="A3:G3"/>
    <mergeCell ref="A31:D31"/>
    <mergeCell ref="A1:L1"/>
    <mergeCell ref="A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2026-04-28T04:00:33Z</dcterms:created>
  <dcterms:modified xmlns:dcterms="http://purl.org/dc/terms/" xmlns:xsi="http://www.w3.org/2001/XMLSchema-instance" xsi:type="dcterms:W3CDTF">2026-05-06T03:45:10Z</dcterms:modified>
  <cp:lastModifiedBy>mahmoud tawfek</cp:lastModifiedBy>
  <cp:revision>0</cp:revision>
</cp:coreProperties>
</file>